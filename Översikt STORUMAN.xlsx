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45720</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45720</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45720</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45720</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45720</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45720</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45720</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45720</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45720</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45720</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45720</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45720</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45720</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45720</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45720</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45720</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45720</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45720</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45720</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45720</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45720</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45720</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45720</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45720</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45720</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45720</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45720</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45720</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45720</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45720</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45720</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45720</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45720</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45720</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45720</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45720</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45720</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45720</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45720</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45720</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45720</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45720</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45720</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45720</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45720</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45720</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29223-2023</t>
        </is>
      </c>
      <c r="B102" s="1" t="n">
        <v>45097</v>
      </c>
      <c r="C102" s="1" t="n">
        <v>45720</v>
      </c>
      <c r="D102" t="inlineStr">
        <is>
          <t>VÄSTERBOTTENS LÄN</t>
        </is>
      </c>
      <c r="E102" t="inlineStr">
        <is>
          <t>STORUMAN</t>
        </is>
      </c>
      <c r="G102" t="n">
        <v>20</v>
      </c>
      <c r="H102" t="n">
        <v>1</v>
      </c>
      <c r="I102" t="n">
        <v>0</v>
      </c>
      <c r="J102" t="n">
        <v>0</v>
      </c>
      <c r="K102" t="n">
        <v>1</v>
      </c>
      <c r="L102" t="n">
        <v>0</v>
      </c>
      <c r="M102" t="n">
        <v>0</v>
      </c>
      <c r="N102" t="n">
        <v>0</v>
      </c>
      <c r="O102" t="n">
        <v>1</v>
      </c>
      <c r="P102" t="n">
        <v>1</v>
      </c>
      <c r="Q102" t="n">
        <v>1</v>
      </c>
      <c r="R102" s="2" t="inlineStr">
        <is>
          <t>Norna</t>
        </is>
      </c>
      <c r="S102">
        <f>HYPERLINK("https://klasma.github.io/Logging_2421/artfynd/A 29223-2023 artfynd.xlsx", "A 29223-2023")</f>
        <v/>
      </c>
      <c r="T102">
        <f>HYPERLINK("https://klasma.github.io/Logging_2421/kartor/A 29223-2023 karta.png", "A 29223-2023")</f>
        <v/>
      </c>
      <c r="V102">
        <f>HYPERLINK("https://klasma.github.io/Logging_2421/klagomål/A 29223-2023 FSC-klagomål.docx", "A 29223-2023")</f>
        <v/>
      </c>
      <c r="W102">
        <f>HYPERLINK("https://klasma.github.io/Logging_2421/klagomålsmail/A 29223-2023 FSC-klagomål mail.docx", "A 29223-2023")</f>
        <v/>
      </c>
      <c r="X102">
        <f>HYPERLINK("https://klasma.github.io/Logging_2421/tillsyn/A 29223-2023 tillsynsbegäran.docx", "A 29223-2023")</f>
        <v/>
      </c>
      <c r="Y102">
        <f>HYPERLINK("https://klasma.github.io/Logging_2421/tillsynsmail/A 29223-2023 tillsynsbegäran mail.docx", "A 29223-2023")</f>
        <v/>
      </c>
    </row>
    <row r="103" ht="15" customHeight="1">
      <c r="A103" t="inlineStr">
        <is>
          <t>A 29563-2023</t>
        </is>
      </c>
      <c r="B103" s="1" t="n">
        <v>45106</v>
      </c>
      <c r="C103" s="1" t="n">
        <v>45720</v>
      </c>
      <c r="D103" t="inlineStr">
        <is>
          <t>VÄSTERBOTTENS LÄN</t>
        </is>
      </c>
      <c r="E103" t="inlineStr">
        <is>
          <t>STORUMAN</t>
        </is>
      </c>
      <c r="F103" t="inlineStr">
        <is>
          <t>Sveaskog</t>
        </is>
      </c>
      <c r="G103" t="n">
        <v>3.8</v>
      </c>
      <c r="H103" t="n">
        <v>1</v>
      </c>
      <c r="I103" t="n">
        <v>0</v>
      </c>
      <c r="J103" t="n">
        <v>0</v>
      </c>
      <c r="K103" t="n">
        <v>1</v>
      </c>
      <c r="L103" t="n">
        <v>0</v>
      </c>
      <c r="M103" t="n">
        <v>0</v>
      </c>
      <c r="N103" t="n">
        <v>0</v>
      </c>
      <c r="O103" t="n">
        <v>1</v>
      </c>
      <c r="P103" t="n">
        <v>1</v>
      </c>
      <c r="Q103" t="n">
        <v>1</v>
      </c>
      <c r="R103" s="2" t="inlineStr">
        <is>
          <t>Knärot</t>
        </is>
      </c>
      <c r="S103">
        <f>HYPERLINK("https://klasma.github.io/Logging_2421/artfynd/A 29563-2023 artfynd.xlsx", "A 29563-2023")</f>
        <v/>
      </c>
      <c r="T103">
        <f>HYPERLINK("https://klasma.github.io/Logging_2421/kartor/A 29563-2023 karta.png", "A 29563-2023")</f>
        <v/>
      </c>
      <c r="U103">
        <f>HYPERLINK("https://klasma.github.io/Logging_2421/knärot/A 29563-2023 karta knärot.png", "A 29563-2023")</f>
        <v/>
      </c>
      <c r="V103">
        <f>HYPERLINK("https://klasma.github.io/Logging_2421/klagomål/A 29563-2023 FSC-klagomål.docx", "A 29563-2023")</f>
        <v/>
      </c>
      <c r="W103">
        <f>HYPERLINK("https://klasma.github.io/Logging_2421/klagomålsmail/A 29563-2023 FSC-klagomål mail.docx", "A 29563-2023")</f>
        <v/>
      </c>
      <c r="X103">
        <f>HYPERLINK("https://klasma.github.io/Logging_2421/tillsyn/A 29563-2023 tillsynsbegäran.docx", "A 29563-2023")</f>
        <v/>
      </c>
      <c r="Y103">
        <f>HYPERLINK("https://klasma.github.io/Logging_2421/tillsynsmail/A 29563-2023 tillsynsbegäran mail.docx", "A 29563-2023")</f>
        <v/>
      </c>
    </row>
    <row r="104" ht="15" customHeight="1">
      <c r="A104" t="inlineStr">
        <is>
          <t>A 29572-2023</t>
        </is>
      </c>
      <c r="B104" s="1" t="n">
        <v>45106</v>
      </c>
      <c r="C104" s="1" t="n">
        <v>45720</v>
      </c>
      <c r="D104" t="inlineStr">
        <is>
          <t>VÄSTERBOTTENS LÄN</t>
        </is>
      </c>
      <c r="E104" t="inlineStr">
        <is>
          <t>STORUMAN</t>
        </is>
      </c>
      <c r="F104" t="inlineStr">
        <is>
          <t>Sveaskog</t>
        </is>
      </c>
      <c r="G104" t="n">
        <v>5.3</v>
      </c>
      <c r="H104" t="n">
        <v>0</v>
      </c>
      <c r="I104" t="n">
        <v>0</v>
      </c>
      <c r="J104" t="n">
        <v>1</v>
      </c>
      <c r="K104" t="n">
        <v>0</v>
      </c>
      <c r="L104" t="n">
        <v>0</v>
      </c>
      <c r="M104" t="n">
        <v>0</v>
      </c>
      <c r="N104" t="n">
        <v>0</v>
      </c>
      <c r="O104" t="n">
        <v>1</v>
      </c>
      <c r="P104" t="n">
        <v>0</v>
      </c>
      <c r="Q104" t="n">
        <v>1</v>
      </c>
      <c r="R104" s="2" t="inlineStr">
        <is>
          <t>Skrovlig taggsvamp</t>
        </is>
      </c>
      <c r="S104">
        <f>HYPERLINK("https://klasma.github.io/Logging_2421/artfynd/A 29572-2023 artfynd.xlsx", "A 29572-2023")</f>
        <v/>
      </c>
      <c r="T104">
        <f>HYPERLINK("https://klasma.github.io/Logging_2421/kartor/A 29572-2023 karta.png", "A 29572-2023")</f>
        <v/>
      </c>
      <c r="V104">
        <f>HYPERLINK("https://klasma.github.io/Logging_2421/klagomål/A 29572-2023 FSC-klagomål.docx", "A 29572-2023")</f>
        <v/>
      </c>
      <c r="W104">
        <f>HYPERLINK("https://klasma.github.io/Logging_2421/klagomålsmail/A 29572-2023 FSC-klagomål mail.docx", "A 29572-2023")</f>
        <v/>
      </c>
      <c r="X104">
        <f>HYPERLINK("https://klasma.github.io/Logging_2421/tillsyn/A 29572-2023 tillsynsbegäran.docx", "A 29572-2023")</f>
        <v/>
      </c>
      <c r="Y104">
        <f>HYPERLINK("https://klasma.github.io/Logging_2421/tillsynsmail/A 29572-2023 tillsynsbegäran mail.docx", "A 29572-2023")</f>
        <v/>
      </c>
    </row>
    <row r="105" ht="15" customHeight="1">
      <c r="A105" t="inlineStr">
        <is>
          <t>A 60264-2023</t>
        </is>
      </c>
      <c r="B105" s="1" t="n">
        <v>45257</v>
      </c>
      <c r="C105" s="1" t="n">
        <v>45720</v>
      </c>
      <c r="D105" t="inlineStr">
        <is>
          <t>VÄSTERBOTTENS LÄN</t>
        </is>
      </c>
      <c r="E105" t="inlineStr">
        <is>
          <t>STORUMAN</t>
        </is>
      </c>
      <c r="G105" t="n">
        <v>15.8</v>
      </c>
      <c r="H105" t="n">
        <v>1</v>
      </c>
      <c r="I105" t="n">
        <v>0</v>
      </c>
      <c r="J105" t="n">
        <v>0</v>
      </c>
      <c r="K105" t="n">
        <v>0</v>
      </c>
      <c r="L105" t="n">
        <v>0</v>
      </c>
      <c r="M105" t="n">
        <v>0</v>
      </c>
      <c r="N105" t="n">
        <v>0</v>
      </c>
      <c r="O105" t="n">
        <v>0</v>
      </c>
      <c r="P105" t="n">
        <v>0</v>
      </c>
      <c r="Q105" t="n">
        <v>1</v>
      </c>
      <c r="R105" s="2" t="inlineStr">
        <is>
          <t>Gråspett</t>
        </is>
      </c>
      <c r="S105">
        <f>HYPERLINK("https://klasma.github.io/Logging_2421/artfynd/A 60264-2023 artfynd.xlsx", "A 60264-2023")</f>
        <v/>
      </c>
      <c r="T105">
        <f>HYPERLINK("https://klasma.github.io/Logging_2421/kartor/A 60264-2023 karta.png", "A 60264-2023")</f>
        <v/>
      </c>
      <c r="V105">
        <f>HYPERLINK("https://klasma.github.io/Logging_2421/klagomål/A 60264-2023 FSC-klagomål.docx", "A 60264-2023")</f>
        <v/>
      </c>
      <c r="W105">
        <f>HYPERLINK("https://klasma.github.io/Logging_2421/klagomålsmail/A 60264-2023 FSC-klagomål mail.docx", "A 60264-2023")</f>
        <v/>
      </c>
      <c r="X105">
        <f>HYPERLINK("https://klasma.github.io/Logging_2421/tillsyn/A 60264-2023 tillsynsbegäran.docx", "A 60264-2023")</f>
        <v/>
      </c>
      <c r="Y105">
        <f>HYPERLINK("https://klasma.github.io/Logging_2421/tillsynsmail/A 60264-2023 tillsynsbegäran mail.docx", "A 60264-2023")</f>
        <v/>
      </c>
      <c r="Z105">
        <f>HYPERLINK("https://klasma.github.io/Logging_2421/fåglar/A 60264-2023 prioriterade fågelarter.docx", "A 60264-2023")</f>
        <v/>
      </c>
    </row>
    <row r="106" ht="15" customHeight="1">
      <c r="A106" t="inlineStr">
        <is>
          <t>A 12579-2024</t>
        </is>
      </c>
      <c r="B106" s="1" t="n">
        <v>45379</v>
      </c>
      <c r="C106" s="1" t="n">
        <v>45720</v>
      </c>
      <c r="D106" t="inlineStr">
        <is>
          <t>VÄSTERBOTTENS LÄN</t>
        </is>
      </c>
      <c r="E106" t="inlineStr">
        <is>
          <t>STORUMAN</t>
        </is>
      </c>
      <c r="G106" t="n">
        <v>22</v>
      </c>
      <c r="H106" t="n">
        <v>1</v>
      </c>
      <c r="I106" t="n">
        <v>0</v>
      </c>
      <c r="J106" t="n">
        <v>1</v>
      </c>
      <c r="K106" t="n">
        <v>0</v>
      </c>
      <c r="L106" t="n">
        <v>0</v>
      </c>
      <c r="M106" t="n">
        <v>0</v>
      </c>
      <c r="N106" t="n">
        <v>0</v>
      </c>
      <c r="O106" t="n">
        <v>1</v>
      </c>
      <c r="P106" t="n">
        <v>0</v>
      </c>
      <c r="Q106" t="n">
        <v>1</v>
      </c>
      <c r="R106" s="2" t="inlineStr">
        <is>
          <t>Utter</t>
        </is>
      </c>
      <c r="S106">
        <f>HYPERLINK("https://klasma.github.io/Logging_2421/artfynd/A 12579-2024 artfynd.xlsx", "A 12579-2024")</f>
        <v/>
      </c>
      <c r="T106">
        <f>HYPERLINK("https://klasma.github.io/Logging_2421/kartor/A 12579-2024 karta.png", "A 12579-2024")</f>
        <v/>
      </c>
      <c r="V106">
        <f>HYPERLINK("https://klasma.github.io/Logging_2421/klagomål/A 12579-2024 FSC-klagomål.docx", "A 12579-2024")</f>
        <v/>
      </c>
      <c r="W106">
        <f>HYPERLINK("https://klasma.github.io/Logging_2421/klagomålsmail/A 12579-2024 FSC-klagomål mail.docx", "A 12579-2024")</f>
        <v/>
      </c>
      <c r="X106">
        <f>HYPERLINK("https://klasma.github.io/Logging_2421/tillsyn/A 12579-2024 tillsynsbegäran.docx", "A 12579-2024")</f>
        <v/>
      </c>
      <c r="Y106">
        <f>HYPERLINK("https://klasma.github.io/Logging_2421/tillsynsmail/A 12579-2024 tillsynsbegäran mail.docx", "A 12579-2024")</f>
        <v/>
      </c>
    </row>
    <row r="107" ht="15" customHeight="1">
      <c r="A107" t="inlineStr">
        <is>
          <t>A 16833-2024</t>
        </is>
      </c>
      <c r="B107" s="1" t="n">
        <v>45411</v>
      </c>
      <c r="C107" s="1" t="n">
        <v>45720</v>
      </c>
      <c r="D107" t="inlineStr">
        <is>
          <t>VÄSTERBOTTENS LÄN</t>
        </is>
      </c>
      <c r="E107" t="inlineStr">
        <is>
          <t>STORUMAN</t>
        </is>
      </c>
      <c r="F107" t="inlineStr">
        <is>
          <t>Sveaskog</t>
        </is>
      </c>
      <c r="G107" t="n">
        <v>7.4</v>
      </c>
      <c r="H107" t="n">
        <v>1</v>
      </c>
      <c r="I107" t="n">
        <v>0</v>
      </c>
      <c r="J107" t="n">
        <v>0</v>
      </c>
      <c r="K107" t="n">
        <v>1</v>
      </c>
      <c r="L107" t="n">
        <v>0</v>
      </c>
      <c r="M107" t="n">
        <v>0</v>
      </c>
      <c r="N107" t="n">
        <v>0</v>
      </c>
      <c r="O107" t="n">
        <v>1</v>
      </c>
      <c r="P107" t="n">
        <v>1</v>
      </c>
      <c r="Q107" t="n">
        <v>1</v>
      </c>
      <c r="R107" s="2" t="inlineStr">
        <is>
          <t>Knärot</t>
        </is>
      </c>
      <c r="S107">
        <f>HYPERLINK("https://klasma.github.io/Logging_2421/artfynd/A 16833-2024 artfynd.xlsx", "A 16833-2024")</f>
        <v/>
      </c>
      <c r="T107">
        <f>HYPERLINK("https://klasma.github.io/Logging_2421/kartor/A 16833-2024 karta.png", "A 16833-2024")</f>
        <v/>
      </c>
      <c r="U107">
        <f>HYPERLINK("https://klasma.github.io/Logging_2421/knärot/A 16833-2024 karta knärot.png", "A 16833-2024")</f>
        <v/>
      </c>
      <c r="V107">
        <f>HYPERLINK("https://klasma.github.io/Logging_2421/klagomål/A 16833-2024 FSC-klagomål.docx", "A 16833-2024")</f>
        <v/>
      </c>
      <c r="W107">
        <f>HYPERLINK("https://klasma.github.io/Logging_2421/klagomålsmail/A 16833-2024 FSC-klagomål mail.docx", "A 16833-2024")</f>
        <v/>
      </c>
      <c r="X107">
        <f>HYPERLINK("https://klasma.github.io/Logging_2421/tillsyn/A 16833-2024 tillsynsbegäran.docx", "A 16833-2024")</f>
        <v/>
      </c>
      <c r="Y107">
        <f>HYPERLINK("https://klasma.github.io/Logging_2421/tillsynsmail/A 16833-2024 tillsynsbegäran mail.docx", "A 16833-2024")</f>
        <v/>
      </c>
    </row>
    <row r="108" ht="15" customHeight="1">
      <c r="A108" t="inlineStr">
        <is>
          <t>A 21663-2024</t>
        </is>
      </c>
      <c r="B108" s="1" t="n">
        <v>45442</v>
      </c>
      <c r="C108" s="1" t="n">
        <v>45720</v>
      </c>
      <c r="D108" t="inlineStr">
        <is>
          <t>VÄSTERBOTTENS LÄN</t>
        </is>
      </c>
      <c r="E108" t="inlineStr">
        <is>
          <t>STORUMAN</t>
        </is>
      </c>
      <c r="F108" t="inlineStr">
        <is>
          <t>Holmen skog AB</t>
        </is>
      </c>
      <c r="G108" t="n">
        <v>4.7</v>
      </c>
      <c r="H108" t="n">
        <v>1</v>
      </c>
      <c r="I108" t="n">
        <v>0</v>
      </c>
      <c r="J108" t="n">
        <v>0</v>
      </c>
      <c r="K108" t="n">
        <v>1</v>
      </c>
      <c r="L108" t="n">
        <v>0</v>
      </c>
      <c r="M108" t="n">
        <v>0</v>
      </c>
      <c r="N108" t="n">
        <v>0</v>
      </c>
      <c r="O108" t="n">
        <v>1</v>
      </c>
      <c r="P108" t="n">
        <v>1</v>
      </c>
      <c r="Q108" t="n">
        <v>1</v>
      </c>
      <c r="R108" s="2" t="inlineStr">
        <is>
          <t>Knärot</t>
        </is>
      </c>
      <c r="S108">
        <f>HYPERLINK("https://klasma.github.io/Logging_2421/artfynd/A 21663-2024 artfynd.xlsx", "A 21663-2024")</f>
        <v/>
      </c>
      <c r="T108">
        <f>HYPERLINK("https://klasma.github.io/Logging_2421/kartor/A 21663-2024 karta.png", "A 21663-2024")</f>
        <v/>
      </c>
      <c r="U108">
        <f>HYPERLINK("https://klasma.github.io/Logging_2421/knärot/A 21663-2024 karta knärot.png", "A 21663-2024")</f>
        <v/>
      </c>
      <c r="V108">
        <f>HYPERLINK("https://klasma.github.io/Logging_2421/klagomål/A 21663-2024 FSC-klagomål.docx", "A 21663-2024")</f>
        <v/>
      </c>
      <c r="W108">
        <f>HYPERLINK("https://klasma.github.io/Logging_2421/klagomålsmail/A 21663-2024 FSC-klagomål mail.docx", "A 21663-2024")</f>
        <v/>
      </c>
      <c r="X108">
        <f>HYPERLINK("https://klasma.github.io/Logging_2421/tillsyn/A 21663-2024 tillsynsbegäran.docx", "A 21663-2024")</f>
        <v/>
      </c>
      <c r="Y108">
        <f>HYPERLINK("https://klasma.github.io/Logging_2421/tillsynsmail/A 21663-2024 tillsynsbegäran mail.docx", "A 21663-2024")</f>
        <v/>
      </c>
    </row>
    <row r="109" ht="15" customHeight="1">
      <c r="A109" t="inlineStr">
        <is>
          <t>A 23458-2024</t>
        </is>
      </c>
      <c r="B109" s="1" t="n">
        <v>45453</v>
      </c>
      <c r="C109" s="1" t="n">
        <v>45720</v>
      </c>
      <c r="D109" t="inlineStr">
        <is>
          <t>VÄSTERBOTTENS LÄN</t>
        </is>
      </c>
      <c r="E109" t="inlineStr">
        <is>
          <t>STORUMAN</t>
        </is>
      </c>
      <c r="F109" t="inlineStr">
        <is>
          <t>Sveaskog</t>
        </is>
      </c>
      <c r="G109" t="n">
        <v>2.2</v>
      </c>
      <c r="H109" t="n">
        <v>0</v>
      </c>
      <c r="I109" t="n">
        <v>1</v>
      </c>
      <c r="J109" t="n">
        <v>0</v>
      </c>
      <c r="K109" t="n">
        <v>0</v>
      </c>
      <c r="L109" t="n">
        <v>0</v>
      </c>
      <c r="M109" t="n">
        <v>0</v>
      </c>
      <c r="N109" t="n">
        <v>0</v>
      </c>
      <c r="O109" t="n">
        <v>0</v>
      </c>
      <c r="P109" t="n">
        <v>0</v>
      </c>
      <c r="Q109" t="n">
        <v>1</v>
      </c>
      <c r="R109" s="2" t="inlineStr">
        <is>
          <t>Dropptaggsvamp</t>
        </is>
      </c>
      <c r="S109">
        <f>HYPERLINK("https://klasma.github.io/Logging_2421/artfynd/A 23458-2024 artfynd.xlsx", "A 23458-2024")</f>
        <v/>
      </c>
      <c r="T109">
        <f>HYPERLINK("https://klasma.github.io/Logging_2421/kartor/A 23458-2024 karta.png", "A 23458-2024")</f>
        <v/>
      </c>
      <c r="V109">
        <f>HYPERLINK("https://klasma.github.io/Logging_2421/klagomål/A 23458-2024 FSC-klagomål.docx", "A 23458-2024")</f>
        <v/>
      </c>
      <c r="W109">
        <f>HYPERLINK("https://klasma.github.io/Logging_2421/klagomålsmail/A 23458-2024 FSC-klagomål mail.docx", "A 23458-2024")</f>
        <v/>
      </c>
      <c r="X109">
        <f>HYPERLINK("https://klasma.github.io/Logging_2421/tillsyn/A 23458-2024 tillsynsbegäran.docx", "A 23458-2024")</f>
        <v/>
      </c>
      <c r="Y109">
        <f>HYPERLINK("https://klasma.github.io/Logging_2421/tillsynsmail/A 23458-2024 tillsynsbegäran mail.docx", "A 23458-2024")</f>
        <v/>
      </c>
    </row>
    <row r="110" ht="15" customHeight="1">
      <c r="A110" t="inlineStr">
        <is>
          <t>A 31674-2024</t>
        </is>
      </c>
      <c r="B110" s="1" t="n">
        <v>45507</v>
      </c>
      <c r="C110" s="1" t="n">
        <v>45720</v>
      </c>
      <c r="D110" t="inlineStr">
        <is>
          <t>VÄSTERBOTTENS LÄN</t>
        </is>
      </c>
      <c r="E110" t="inlineStr">
        <is>
          <t>STORUMAN</t>
        </is>
      </c>
      <c r="F110" t="inlineStr">
        <is>
          <t>SCA</t>
        </is>
      </c>
      <c r="G110" t="n">
        <v>1.3</v>
      </c>
      <c r="H110" t="n">
        <v>1</v>
      </c>
      <c r="I110" t="n">
        <v>1</v>
      </c>
      <c r="J110" t="n">
        <v>0</v>
      </c>
      <c r="K110" t="n">
        <v>0</v>
      </c>
      <c r="L110" t="n">
        <v>0</v>
      </c>
      <c r="M110" t="n">
        <v>0</v>
      </c>
      <c r="N110" t="n">
        <v>0</v>
      </c>
      <c r="O110" t="n">
        <v>0</v>
      </c>
      <c r="P110" t="n">
        <v>0</v>
      </c>
      <c r="Q110" t="n">
        <v>1</v>
      </c>
      <c r="R110" s="2" t="inlineStr">
        <is>
          <t>Lappranunkel</t>
        </is>
      </c>
      <c r="S110">
        <f>HYPERLINK("https://klasma.github.io/Logging_2421/artfynd/A 31674-2024 artfynd.xlsx", "A 31674-2024")</f>
        <v/>
      </c>
      <c r="T110">
        <f>HYPERLINK("https://klasma.github.io/Logging_2421/kartor/A 31674-2024 karta.png", "A 31674-2024")</f>
        <v/>
      </c>
      <c r="V110">
        <f>HYPERLINK("https://klasma.github.io/Logging_2421/klagomål/A 31674-2024 FSC-klagomål.docx", "A 31674-2024")</f>
        <v/>
      </c>
      <c r="W110">
        <f>HYPERLINK("https://klasma.github.io/Logging_2421/klagomålsmail/A 31674-2024 FSC-klagomål mail.docx", "A 31674-2024")</f>
        <v/>
      </c>
      <c r="X110">
        <f>HYPERLINK("https://klasma.github.io/Logging_2421/tillsyn/A 31674-2024 tillsynsbegäran.docx", "A 31674-2024")</f>
        <v/>
      </c>
      <c r="Y110">
        <f>HYPERLINK("https://klasma.github.io/Logging_2421/tillsynsmail/A 31674-2024 tillsynsbegäran mail.docx", "A 31674-2024")</f>
        <v/>
      </c>
    </row>
    <row r="111" ht="15" customHeight="1">
      <c r="A111" t="inlineStr">
        <is>
          <t>A 33852-2024</t>
        </is>
      </c>
      <c r="B111" s="1" t="n">
        <v>45520</v>
      </c>
      <c r="C111" s="1" t="n">
        <v>45720</v>
      </c>
      <c r="D111" t="inlineStr">
        <is>
          <t>VÄSTERBOTTENS LÄN</t>
        </is>
      </c>
      <c r="E111" t="inlineStr">
        <is>
          <t>STORUMAN</t>
        </is>
      </c>
      <c r="F111" t="inlineStr">
        <is>
          <t>Sveaskog</t>
        </is>
      </c>
      <c r="G111" t="n">
        <v>1.9</v>
      </c>
      <c r="H111" t="n">
        <v>0</v>
      </c>
      <c r="I111" t="n">
        <v>0</v>
      </c>
      <c r="J111" t="n">
        <v>1</v>
      </c>
      <c r="K111" t="n">
        <v>0</v>
      </c>
      <c r="L111" t="n">
        <v>0</v>
      </c>
      <c r="M111" t="n">
        <v>0</v>
      </c>
      <c r="N111" t="n">
        <v>0</v>
      </c>
      <c r="O111" t="n">
        <v>1</v>
      </c>
      <c r="P111" t="n">
        <v>0</v>
      </c>
      <c r="Q111" t="n">
        <v>1</v>
      </c>
      <c r="R111" s="2" t="inlineStr">
        <is>
          <t>Lunglav</t>
        </is>
      </c>
      <c r="S111">
        <f>HYPERLINK("https://klasma.github.io/Logging_2421/artfynd/A 33852-2024 artfynd.xlsx", "A 33852-2024")</f>
        <v/>
      </c>
      <c r="T111">
        <f>HYPERLINK("https://klasma.github.io/Logging_2421/kartor/A 33852-2024 karta.png", "A 33852-2024")</f>
        <v/>
      </c>
      <c r="V111">
        <f>HYPERLINK("https://klasma.github.io/Logging_2421/klagomål/A 33852-2024 FSC-klagomål.docx", "A 33852-2024")</f>
        <v/>
      </c>
      <c r="W111">
        <f>HYPERLINK("https://klasma.github.io/Logging_2421/klagomålsmail/A 33852-2024 FSC-klagomål mail.docx", "A 33852-2024")</f>
        <v/>
      </c>
      <c r="X111">
        <f>HYPERLINK("https://klasma.github.io/Logging_2421/tillsyn/A 33852-2024 tillsynsbegäran.docx", "A 33852-2024")</f>
        <v/>
      </c>
      <c r="Y111">
        <f>HYPERLINK("https://klasma.github.io/Logging_2421/tillsynsmail/A 33852-2024 tillsynsbegäran mail.docx", "A 33852-2024")</f>
        <v/>
      </c>
    </row>
    <row r="112" ht="15" customHeight="1">
      <c r="A112" t="inlineStr">
        <is>
          <t>A 41819-2024</t>
        </is>
      </c>
      <c r="B112" s="1" t="n">
        <v>45561</v>
      </c>
      <c r="C112" s="1" t="n">
        <v>45720</v>
      </c>
      <c r="D112" t="inlineStr">
        <is>
          <t>VÄSTERBOTTENS LÄN</t>
        </is>
      </c>
      <c r="E112" t="inlineStr">
        <is>
          <t>STORUMAN</t>
        </is>
      </c>
      <c r="F112" t="inlineStr">
        <is>
          <t>Sveaskog</t>
        </is>
      </c>
      <c r="G112" t="n">
        <v>3.5</v>
      </c>
      <c r="H112" t="n">
        <v>0</v>
      </c>
      <c r="I112" t="n">
        <v>0</v>
      </c>
      <c r="J112" t="n">
        <v>1</v>
      </c>
      <c r="K112" t="n">
        <v>0</v>
      </c>
      <c r="L112" t="n">
        <v>0</v>
      </c>
      <c r="M112" t="n">
        <v>0</v>
      </c>
      <c r="N112" t="n">
        <v>0</v>
      </c>
      <c r="O112" t="n">
        <v>1</v>
      </c>
      <c r="P112" t="n">
        <v>0</v>
      </c>
      <c r="Q112" t="n">
        <v>1</v>
      </c>
      <c r="R112" s="2" t="inlineStr">
        <is>
          <t>Motaggsvamp</t>
        </is>
      </c>
      <c r="S112">
        <f>HYPERLINK("https://klasma.github.io/Logging_2421/artfynd/A 41819-2024 artfynd.xlsx", "A 41819-2024")</f>
        <v/>
      </c>
      <c r="T112">
        <f>HYPERLINK("https://klasma.github.io/Logging_2421/kartor/A 41819-2024 karta.png", "A 41819-2024")</f>
        <v/>
      </c>
      <c r="V112">
        <f>HYPERLINK("https://klasma.github.io/Logging_2421/klagomål/A 41819-2024 FSC-klagomål.docx", "A 41819-2024")</f>
        <v/>
      </c>
      <c r="W112">
        <f>HYPERLINK("https://klasma.github.io/Logging_2421/klagomålsmail/A 41819-2024 FSC-klagomål mail.docx", "A 41819-2024")</f>
        <v/>
      </c>
      <c r="X112">
        <f>HYPERLINK("https://klasma.github.io/Logging_2421/tillsyn/A 41819-2024 tillsynsbegäran.docx", "A 41819-2024")</f>
        <v/>
      </c>
      <c r="Y112">
        <f>HYPERLINK("https://klasma.github.io/Logging_2421/tillsynsmail/A 41819-2024 tillsynsbegäran mail.docx", "A 41819-2024")</f>
        <v/>
      </c>
    </row>
    <row r="113" ht="15" customHeight="1">
      <c r="A113" t="inlineStr">
        <is>
          <t>A 41848-2024</t>
        </is>
      </c>
      <c r="B113" s="1" t="n">
        <v>45561</v>
      </c>
      <c r="C113" s="1" t="n">
        <v>45720</v>
      </c>
      <c r="D113" t="inlineStr">
        <is>
          <t>VÄSTERBOTTENS LÄN</t>
        </is>
      </c>
      <c r="E113" t="inlineStr">
        <is>
          <t>STORUMAN</t>
        </is>
      </c>
      <c r="F113" t="inlineStr">
        <is>
          <t>Sveaskog</t>
        </is>
      </c>
      <c r="G113" t="n">
        <v>4.1</v>
      </c>
      <c r="H113" t="n">
        <v>0</v>
      </c>
      <c r="I113" t="n">
        <v>1</v>
      </c>
      <c r="J113" t="n">
        <v>0</v>
      </c>
      <c r="K113" t="n">
        <v>0</v>
      </c>
      <c r="L113" t="n">
        <v>0</v>
      </c>
      <c r="M113" t="n">
        <v>0</v>
      </c>
      <c r="N113" t="n">
        <v>0</v>
      </c>
      <c r="O113" t="n">
        <v>0</v>
      </c>
      <c r="P113" t="n">
        <v>0</v>
      </c>
      <c r="Q113" t="n">
        <v>1</v>
      </c>
      <c r="R113" s="2" t="inlineStr">
        <is>
          <t>Skarp dropptaggsvamp</t>
        </is>
      </c>
      <c r="S113">
        <f>HYPERLINK("https://klasma.github.io/Logging_2421/artfynd/A 41848-2024 artfynd.xlsx", "A 41848-2024")</f>
        <v/>
      </c>
      <c r="T113">
        <f>HYPERLINK("https://klasma.github.io/Logging_2421/kartor/A 41848-2024 karta.png", "A 41848-2024")</f>
        <v/>
      </c>
      <c r="V113">
        <f>HYPERLINK("https://klasma.github.io/Logging_2421/klagomål/A 41848-2024 FSC-klagomål.docx", "A 41848-2024")</f>
        <v/>
      </c>
      <c r="W113">
        <f>HYPERLINK("https://klasma.github.io/Logging_2421/klagomålsmail/A 41848-2024 FSC-klagomål mail.docx", "A 41848-2024")</f>
        <v/>
      </c>
      <c r="X113">
        <f>HYPERLINK("https://klasma.github.io/Logging_2421/tillsyn/A 41848-2024 tillsynsbegäran.docx", "A 41848-2024")</f>
        <v/>
      </c>
      <c r="Y113">
        <f>HYPERLINK("https://klasma.github.io/Logging_2421/tillsynsmail/A 41848-2024 tillsynsbegäran mail.docx", "A 41848-2024")</f>
        <v/>
      </c>
    </row>
    <row r="114" ht="15" customHeight="1">
      <c r="A114" t="inlineStr">
        <is>
          <t>A 45404-2024</t>
        </is>
      </c>
      <c r="B114" s="1" t="n">
        <v>45576</v>
      </c>
      <c r="C114" s="1" t="n">
        <v>45720</v>
      </c>
      <c r="D114" t="inlineStr">
        <is>
          <t>VÄSTERBOTTENS LÄN</t>
        </is>
      </c>
      <c r="E114" t="inlineStr">
        <is>
          <t>STORUMAN</t>
        </is>
      </c>
      <c r="F114" t="inlineStr">
        <is>
          <t>Sveaskog</t>
        </is>
      </c>
      <c r="G114" t="n">
        <v>3.3</v>
      </c>
      <c r="H114" t="n">
        <v>0</v>
      </c>
      <c r="I114" t="n">
        <v>0</v>
      </c>
      <c r="J114" t="n">
        <v>1</v>
      </c>
      <c r="K114" t="n">
        <v>0</v>
      </c>
      <c r="L114" t="n">
        <v>0</v>
      </c>
      <c r="M114" t="n">
        <v>0</v>
      </c>
      <c r="N114" t="n">
        <v>0</v>
      </c>
      <c r="O114" t="n">
        <v>1</v>
      </c>
      <c r="P114" t="n">
        <v>0</v>
      </c>
      <c r="Q114" t="n">
        <v>1</v>
      </c>
      <c r="R114" s="2" t="inlineStr">
        <is>
          <t>Lunglav</t>
        </is>
      </c>
      <c r="S114">
        <f>HYPERLINK("https://klasma.github.io/Logging_2421/artfynd/A 45404-2024 artfynd.xlsx", "A 45404-2024")</f>
        <v/>
      </c>
      <c r="T114">
        <f>HYPERLINK("https://klasma.github.io/Logging_2421/kartor/A 45404-2024 karta.png", "A 45404-2024")</f>
        <v/>
      </c>
      <c r="V114">
        <f>HYPERLINK("https://klasma.github.io/Logging_2421/klagomål/A 45404-2024 FSC-klagomål.docx", "A 45404-2024")</f>
        <v/>
      </c>
      <c r="W114">
        <f>HYPERLINK("https://klasma.github.io/Logging_2421/klagomålsmail/A 45404-2024 FSC-klagomål mail.docx", "A 45404-2024")</f>
        <v/>
      </c>
      <c r="X114">
        <f>HYPERLINK("https://klasma.github.io/Logging_2421/tillsyn/A 45404-2024 tillsynsbegäran.docx", "A 45404-2024")</f>
        <v/>
      </c>
      <c r="Y114">
        <f>HYPERLINK("https://klasma.github.io/Logging_2421/tillsynsmail/A 45404-2024 tillsynsbegäran mail.docx", "A 45404-2024")</f>
        <v/>
      </c>
    </row>
    <row r="115" ht="15" customHeight="1">
      <c r="A115" t="inlineStr">
        <is>
          <t>A 50942-2024</t>
        </is>
      </c>
      <c r="B115" s="1" t="n">
        <v>45602</v>
      </c>
      <c r="C115" s="1" t="n">
        <v>45720</v>
      </c>
      <c r="D115" t="inlineStr">
        <is>
          <t>VÄSTERBOTTENS LÄN</t>
        </is>
      </c>
      <c r="E115" t="inlineStr">
        <is>
          <t>STORUMAN</t>
        </is>
      </c>
      <c r="G115" t="n">
        <v>9.1</v>
      </c>
      <c r="H115" t="n">
        <v>1</v>
      </c>
      <c r="I115" t="n">
        <v>0</v>
      </c>
      <c r="J115" t="n">
        <v>0</v>
      </c>
      <c r="K115" t="n">
        <v>1</v>
      </c>
      <c r="L115" t="n">
        <v>0</v>
      </c>
      <c r="M115" t="n">
        <v>0</v>
      </c>
      <c r="N115" t="n">
        <v>0</v>
      </c>
      <c r="O115" t="n">
        <v>1</v>
      </c>
      <c r="P115" t="n">
        <v>1</v>
      </c>
      <c r="Q115" t="n">
        <v>1</v>
      </c>
      <c r="R115" s="2" t="inlineStr">
        <is>
          <t>Knärot</t>
        </is>
      </c>
      <c r="S115">
        <f>HYPERLINK("https://klasma.github.io/Logging_2421/artfynd/A 50942-2024 artfynd.xlsx", "A 50942-2024")</f>
        <v/>
      </c>
      <c r="T115">
        <f>HYPERLINK("https://klasma.github.io/Logging_2421/kartor/A 50942-2024 karta.png", "A 50942-2024")</f>
        <v/>
      </c>
      <c r="U115">
        <f>HYPERLINK("https://klasma.github.io/Logging_2421/knärot/A 50942-2024 karta knärot.png", "A 50942-2024")</f>
        <v/>
      </c>
      <c r="V115">
        <f>HYPERLINK("https://klasma.github.io/Logging_2421/klagomål/A 50942-2024 FSC-klagomål.docx", "A 50942-2024")</f>
        <v/>
      </c>
      <c r="W115">
        <f>HYPERLINK("https://klasma.github.io/Logging_2421/klagomålsmail/A 50942-2024 FSC-klagomål mail.docx", "A 50942-2024")</f>
        <v/>
      </c>
      <c r="X115">
        <f>HYPERLINK("https://klasma.github.io/Logging_2421/tillsyn/A 50942-2024 tillsynsbegäran.docx", "A 50942-2024")</f>
        <v/>
      </c>
      <c r="Y115">
        <f>HYPERLINK("https://klasma.github.io/Logging_2421/tillsynsmail/A 50942-2024 tillsynsbegäran mail.docx", "A 50942-2024")</f>
        <v/>
      </c>
    </row>
    <row r="116" ht="15" customHeight="1">
      <c r="A116" t="inlineStr">
        <is>
          <t>A 519-2025</t>
        </is>
      </c>
      <c r="B116" s="1" t="n">
        <v>45660</v>
      </c>
      <c r="C116" s="1" t="n">
        <v>45720</v>
      </c>
      <c r="D116" t="inlineStr">
        <is>
          <t>VÄSTERBOTTENS LÄN</t>
        </is>
      </c>
      <c r="E116" t="inlineStr">
        <is>
          <t>STORUMAN</t>
        </is>
      </c>
      <c r="G116" t="n">
        <v>10.4</v>
      </c>
      <c r="H116" t="n">
        <v>0</v>
      </c>
      <c r="I116" t="n">
        <v>1</v>
      </c>
      <c r="J116" t="n">
        <v>0</v>
      </c>
      <c r="K116" t="n">
        <v>0</v>
      </c>
      <c r="L116" t="n">
        <v>0</v>
      </c>
      <c r="M116" t="n">
        <v>0</v>
      </c>
      <c r="N116" t="n">
        <v>0</v>
      </c>
      <c r="O116" t="n">
        <v>0</v>
      </c>
      <c r="P116" t="n">
        <v>0</v>
      </c>
      <c r="Q116" t="n">
        <v>1</v>
      </c>
      <c r="R116" s="2" t="inlineStr">
        <is>
          <t>Skinnlav</t>
        </is>
      </c>
      <c r="S116">
        <f>HYPERLINK("https://klasma.github.io/Logging_2421/artfynd/A 519-2025 artfynd.xlsx", "A 519-2025")</f>
        <v/>
      </c>
      <c r="T116">
        <f>HYPERLINK("https://klasma.github.io/Logging_2421/kartor/A 519-2025 karta.png", "A 519-2025")</f>
        <v/>
      </c>
      <c r="V116">
        <f>HYPERLINK("https://klasma.github.io/Logging_2421/klagomål/A 519-2025 FSC-klagomål.docx", "A 519-2025")</f>
        <v/>
      </c>
      <c r="W116">
        <f>HYPERLINK("https://klasma.github.io/Logging_2421/klagomålsmail/A 519-2025 FSC-klagomål mail.docx", "A 519-2025")</f>
        <v/>
      </c>
      <c r="X116">
        <f>HYPERLINK("https://klasma.github.io/Logging_2421/tillsyn/A 519-2025 tillsynsbegäran.docx", "A 519-2025")</f>
        <v/>
      </c>
      <c r="Y116">
        <f>HYPERLINK("https://klasma.github.io/Logging_2421/tillsynsmail/A 519-2025 tillsynsbegäran mail.docx", "A 519-2025")</f>
        <v/>
      </c>
    </row>
    <row r="117" ht="15" customHeight="1">
      <c r="A117" t="inlineStr">
        <is>
          <t>A 18106-2019</t>
        </is>
      </c>
      <c r="B117" s="1" t="n">
        <v>43556</v>
      </c>
      <c r="C117" s="1" t="n">
        <v>45720</v>
      </c>
      <c r="D117" t="inlineStr">
        <is>
          <t>VÄSTERBOTTENS LÄN</t>
        </is>
      </c>
      <c r="E117" t="inlineStr">
        <is>
          <t>STORUMAN</t>
        </is>
      </c>
      <c r="G117" t="n">
        <v>9.5</v>
      </c>
      <c r="H117" t="n">
        <v>0</v>
      </c>
      <c r="I117" t="n">
        <v>0</v>
      </c>
      <c r="J117" t="n">
        <v>0</v>
      </c>
      <c r="K117" t="n">
        <v>0</v>
      </c>
      <c r="L117" t="n">
        <v>0</v>
      </c>
      <c r="M117" t="n">
        <v>0</v>
      </c>
      <c r="N117" t="n">
        <v>0</v>
      </c>
      <c r="O117" t="n">
        <v>0</v>
      </c>
      <c r="P117" t="n">
        <v>0</v>
      </c>
      <c r="Q117" t="n">
        <v>0</v>
      </c>
      <c r="R117" s="2" t="inlineStr"/>
    </row>
    <row r="118" ht="15" customHeight="1">
      <c r="A118" t="inlineStr">
        <is>
          <t>A 18096-2019</t>
        </is>
      </c>
      <c r="B118" s="1" t="n">
        <v>43556</v>
      </c>
      <c r="C118" s="1" t="n">
        <v>45720</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24955-2019</t>
        </is>
      </c>
      <c r="B119" s="1" t="n">
        <v>43598</v>
      </c>
      <c r="C119" s="1" t="n">
        <v>45720</v>
      </c>
      <c r="D119" t="inlineStr">
        <is>
          <t>VÄSTERBOTTENS LÄN</t>
        </is>
      </c>
      <c r="E119" t="inlineStr">
        <is>
          <t>STORUMAN</t>
        </is>
      </c>
      <c r="G119" t="n">
        <v>2.6</v>
      </c>
      <c r="H119" t="n">
        <v>0</v>
      </c>
      <c r="I119" t="n">
        <v>0</v>
      </c>
      <c r="J119" t="n">
        <v>0</v>
      </c>
      <c r="K119" t="n">
        <v>0</v>
      </c>
      <c r="L119" t="n">
        <v>0</v>
      </c>
      <c r="M119" t="n">
        <v>0</v>
      </c>
      <c r="N119" t="n">
        <v>0</v>
      </c>
      <c r="O119" t="n">
        <v>0</v>
      </c>
      <c r="P119" t="n">
        <v>0</v>
      </c>
      <c r="Q119" t="n">
        <v>0</v>
      </c>
      <c r="R119" s="2" t="inlineStr"/>
    </row>
    <row r="120" ht="15" customHeight="1">
      <c r="A120" t="inlineStr">
        <is>
          <t>A 24080-2019</t>
        </is>
      </c>
      <c r="B120" s="1" t="n">
        <v>43598</v>
      </c>
      <c r="C120" s="1" t="n">
        <v>45720</v>
      </c>
      <c r="D120" t="inlineStr">
        <is>
          <t>VÄSTERBOTTENS LÄN</t>
        </is>
      </c>
      <c r="E120" t="inlineStr">
        <is>
          <t>STORUMAN</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24952-2019</t>
        </is>
      </c>
      <c r="B121" s="1" t="n">
        <v>43598</v>
      </c>
      <c r="C121" s="1" t="n">
        <v>45720</v>
      </c>
      <c r="D121" t="inlineStr">
        <is>
          <t>VÄSTERBOTTENS LÄN</t>
        </is>
      </c>
      <c r="E121" t="inlineStr">
        <is>
          <t>STORUMAN</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25622-2019</t>
        </is>
      </c>
      <c r="B122" s="1" t="n">
        <v>43602</v>
      </c>
      <c r="C122" s="1" t="n">
        <v>45720</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26278-2019</t>
        </is>
      </c>
      <c r="B123" s="1" t="n">
        <v>43611</v>
      </c>
      <c r="C123" s="1" t="n">
        <v>45720</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26277-2019</t>
        </is>
      </c>
      <c r="B124" s="1" t="n">
        <v>43611</v>
      </c>
      <c r="C124" s="1" t="n">
        <v>45720</v>
      </c>
      <c r="D124" t="inlineStr">
        <is>
          <t>VÄSTERBOTTENS LÄN</t>
        </is>
      </c>
      <c r="E124" t="inlineStr">
        <is>
          <t>STORUMAN</t>
        </is>
      </c>
      <c r="G124" t="n">
        <v>3.3</v>
      </c>
      <c r="H124" t="n">
        <v>0</v>
      </c>
      <c r="I124" t="n">
        <v>0</v>
      </c>
      <c r="J124" t="n">
        <v>0</v>
      </c>
      <c r="K124" t="n">
        <v>0</v>
      </c>
      <c r="L124" t="n">
        <v>0</v>
      </c>
      <c r="M124" t="n">
        <v>0</v>
      </c>
      <c r="N124" t="n">
        <v>0</v>
      </c>
      <c r="O124" t="n">
        <v>0</v>
      </c>
      <c r="P124" t="n">
        <v>0</v>
      </c>
      <c r="Q124" t="n">
        <v>0</v>
      </c>
      <c r="R124" s="2" t="inlineStr"/>
    </row>
    <row r="125" ht="15" customHeight="1">
      <c r="A125" t="inlineStr">
        <is>
          <t>A 27038-2019</t>
        </is>
      </c>
      <c r="B125" s="1" t="n">
        <v>43614</v>
      </c>
      <c r="C125" s="1" t="n">
        <v>45720</v>
      </c>
      <c r="D125" t="inlineStr">
        <is>
          <t>VÄSTERBOTTENS LÄN</t>
        </is>
      </c>
      <c r="E125" t="inlineStr">
        <is>
          <t>STORUMAN</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27102-2019</t>
        </is>
      </c>
      <c r="B126" s="1" t="n">
        <v>43614</v>
      </c>
      <c r="C126" s="1" t="n">
        <v>45720</v>
      </c>
      <c r="D126" t="inlineStr">
        <is>
          <t>VÄSTERBOTTENS LÄN</t>
        </is>
      </c>
      <c r="E126" t="inlineStr">
        <is>
          <t>STORUMAN</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27342-2019</t>
        </is>
      </c>
      <c r="B127" s="1" t="n">
        <v>43616</v>
      </c>
      <c r="C127" s="1" t="n">
        <v>45720</v>
      </c>
      <c r="D127" t="inlineStr">
        <is>
          <t>VÄSTERBOTTENS LÄN</t>
        </is>
      </c>
      <c r="E127" t="inlineStr">
        <is>
          <t>STORUMAN</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29908-2019</t>
        </is>
      </c>
      <c r="B128" s="1" t="n">
        <v>43629</v>
      </c>
      <c r="C128" s="1" t="n">
        <v>45720</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33504-2019</t>
        </is>
      </c>
      <c r="B129" s="1" t="n">
        <v>43644</v>
      </c>
      <c r="C129" s="1" t="n">
        <v>45720</v>
      </c>
      <c r="D129" t="inlineStr">
        <is>
          <t>VÄSTERBOTTENS LÄN</t>
        </is>
      </c>
      <c r="E129" t="inlineStr">
        <is>
          <t>STORUMAN</t>
        </is>
      </c>
      <c r="G129" t="n">
        <v>4</v>
      </c>
      <c r="H129" t="n">
        <v>0</v>
      </c>
      <c r="I129" t="n">
        <v>0</v>
      </c>
      <c r="J129" t="n">
        <v>0</v>
      </c>
      <c r="K129" t="n">
        <v>0</v>
      </c>
      <c r="L129" t="n">
        <v>0</v>
      </c>
      <c r="M129" t="n">
        <v>0</v>
      </c>
      <c r="N129" t="n">
        <v>0</v>
      </c>
      <c r="O129" t="n">
        <v>0</v>
      </c>
      <c r="P129" t="n">
        <v>0</v>
      </c>
      <c r="Q129" t="n">
        <v>0</v>
      </c>
      <c r="R129" s="2" t="inlineStr"/>
    </row>
    <row r="130" ht="15" customHeight="1">
      <c r="A130" t="inlineStr">
        <is>
          <t>A 33524-2019</t>
        </is>
      </c>
      <c r="B130" s="1" t="n">
        <v>43644</v>
      </c>
      <c r="C130" s="1" t="n">
        <v>45720</v>
      </c>
      <c r="D130" t="inlineStr">
        <is>
          <t>VÄSTERBOTTENS LÄN</t>
        </is>
      </c>
      <c r="E130" t="inlineStr">
        <is>
          <t>STORUMAN</t>
        </is>
      </c>
      <c r="G130" t="n">
        <v>1</v>
      </c>
      <c r="H130" t="n">
        <v>0</v>
      </c>
      <c r="I130" t="n">
        <v>0</v>
      </c>
      <c r="J130" t="n">
        <v>0</v>
      </c>
      <c r="K130" t="n">
        <v>0</v>
      </c>
      <c r="L130" t="n">
        <v>0</v>
      </c>
      <c r="M130" t="n">
        <v>0</v>
      </c>
      <c r="N130" t="n">
        <v>0</v>
      </c>
      <c r="O130" t="n">
        <v>0</v>
      </c>
      <c r="P130" t="n">
        <v>0</v>
      </c>
      <c r="Q130" t="n">
        <v>0</v>
      </c>
      <c r="R130" s="2" t="inlineStr"/>
    </row>
    <row r="131" ht="15" customHeight="1">
      <c r="A131" t="inlineStr">
        <is>
          <t>A 32717-2019</t>
        </is>
      </c>
      <c r="B131" s="1" t="n">
        <v>43647</v>
      </c>
      <c r="C131" s="1" t="n">
        <v>45720</v>
      </c>
      <c r="D131" t="inlineStr">
        <is>
          <t>VÄSTERBOTTENS LÄN</t>
        </is>
      </c>
      <c r="E131" t="inlineStr">
        <is>
          <t>STORUMAN</t>
        </is>
      </c>
      <c r="F131" t="inlineStr">
        <is>
          <t>Kyrkan</t>
        </is>
      </c>
      <c r="G131" t="n">
        <v>10.4</v>
      </c>
      <c r="H131" t="n">
        <v>0</v>
      </c>
      <c r="I131" t="n">
        <v>0</v>
      </c>
      <c r="J131" t="n">
        <v>0</v>
      </c>
      <c r="K131" t="n">
        <v>0</v>
      </c>
      <c r="L131" t="n">
        <v>0</v>
      </c>
      <c r="M131" t="n">
        <v>0</v>
      </c>
      <c r="N131" t="n">
        <v>0</v>
      </c>
      <c r="O131" t="n">
        <v>0</v>
      </c>
      <c r="P131" t="n">
        <v>0</v>
      </c>
      <c r="Q131" t="n">
        <v>0</v>
      </c>
      <c r="R131" s="2" t="inlineStr"/>
    </row>
    <row r="132" ht="15" customHeight="1">
      <c r="A132" t="inlineStr">
        <is>
          <t>A 33416-2019</t>
        </is>
      </c>
      <c r="B132" s="1" t="n">
        <v>43650</v>
      </c>
      <c r="C132" s="1" t="n">
        <v>45720</v>
      </c>
      <c r="D132" t="inlineStr">
        <is>
          <t>VÄSTERBOTTENS LÄN</t>
        </is>
      </c>
      <c r="E132" t="inlineStr">
        <is>
          <t>STORUMAN</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33533-2019</t>
        </is>
      </c>
      <c r="B133" s="1" t="n">
        <v>43651</v>
      </c>
      <c r="C133" s="1" t="n">
        <v>45720</v>
      </c>
      <c r="D133" t="inlineStr">
        <is>
          <t>VÄSTERBOTTENS LÄN</t>
        </is>
      </c>
      <c r="E133" t="inlineStr">
        <is>
          <t>STORUMAN</t>
        </is>
      </c>
      <c r="F133" t="inlineStr">
        <is>
          <t>Sveaskog</t>
        </is>
      </c>
      <c r="G133" t="n">
        <v>4.3</v>
      </c>
      <c r="H133" t="n">
        <v>0</v>
      </c>
      <c r="I133" t="n">
        <v>0</v>
      </c>
      <c r="J133" t="n">
        <v>0</v>
      </c>
      <c r="K133" t="n">
        <v>0</v>
      </c>
      <c r="L133" t="n">
        <v>0</v>
      </c>
      <c r="M133" t="n">
        <v>0</v>
      </c>
      <c r="N133" t="n">
        <v>0</v>
      </c>
      <c r="O133" t="n">
        <v>0</v>
      </c>
      <c r="P133" t="n">
        <v>0</v>
      </c>
      <c r="Q133" t="n">
        <v>0</v>
      </c>
      <c r="R133" s="2" t="inlineStr"/>
    </row>
    <row r="134" ht="15" customHeight="1">
      <c r="A134" t="inlineStr">
        <is>
          <t>A 33718-2019</t>
        </is>
      </c>
      <c r="B134" s="1" t="n">
        <v>43651</v>
      </c>
      <c r="C134" s="1" t="n">
        <v>45720</v>
      </c>
      <c r="D134" t="inlineStr">
        <is>
          <t>VÄSTERBOTTENS LÄN</t>
        </is>
      </c>
      <c r="E134" t="inlineStr">
        <is>
          <t>STORUMAN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34548-2019</t>
        </is>
      </c>
      <c r="B135" s="1" t="n">
        <v>43654</v>
      </c>
      <c r="C135" s="1" t="n">
        <v>45720</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35006-2019</t>
        </is>
      </c>
      <c r="B136" s="1" t="n">
        <v>43661</v>
      </c>
      <c r="C136" s="1" t="n">
        <v>45720</v>
      </c>
      <c r="D136" t="inlineStr">
        <is>
          <t>VÄSTERBOTTENS LÄN</t>
        </is>
      </c>
      <c r="E136" t="inlineStr">
        <is>
          <t>STORUMAN</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35027-2019</t>
        </is>
      </c>
      <c r="B137" s="1" t="n">
        <v>43661</v>
      </c>
      <c r="C137" s="1" t="n">
        <v>45720</v>
      </c>
      <c r="D137" t="inlineStr">
        <is>
          <t>VÄSTERBOTTENS LÄN</t>
        </is>
      </c>
      <c r="E137" t="inlineStr">
        <is>
          <t>STORUMAN</t>
        </is>
      </c>
      <c r="F137" t="inlineStr">
        <is>
          <t>Sveaskog</t>
        </is>
      </c>
      <c r="G137" t="n">
        <v>6.8</v>
      </c>
      <c r="H137" t="n">
        <v>0</v>
      </c>
      <c r="I137" t="n">
        <v>0</v>
      </c>
      <c r="J137" t="n">
        <v>0</v>
      </c>
      <c r="K137" t="n">
        <v>0</v>
      </c>
      <c r="L137" t="n">
        <v>0</v>
      </c>
      <c r="M137" t="n">
        <v>0</v>
      </c>
      <c r="N137" t="n">
        <v>0</v>
      </c>
      <c r="O137" t="n">
        <v>0</v>
      </c>
      <c r="P137" t="n">
        <v>0</v>
      </c>
      <c r="Q137" t="n">
        <v>0</v>
      </c>
      <c r="R137" s="2" t="inlineStr"/>
    </row>
    <row r="138" ht="15" customHeight="1">
      <c r="A138" t="inlineStr">
        <is>
          <t>A 40882-2019</t>
        </is>
      </c>
      <c r="B138" s="1" t="n">
        <v>43693</v>
      </c>
      <c r="C138" s="1" t="n">
        <v>45720</v>
      </c>
      <c r="D138" t="inlineStr">
        <is>
          <t>VÄSTERBOTTENS LÄN</t>
        </is>
      </c>
      <c r="E138" t="inlineStr">
        <is>
          <t>STORUMAN</t>
        </is>
      </c>
      <c r="G138" t="n">
        <v>2.6</v>
      </c>
      <c r="H138" t="n">
        <v>0</v>
      </c>
      <c r="I138" t="n">
        <v>0</v>
      </c>
      <c r="J138" t="n">
        <v>0</v>
      </c>
      <c r="K138" t="n">
        <v>0</v>
      </c>
      <c r="L138" t="n">
        <v>0</v>
      </c>
      <c r="M138" t="n">
        <v>0</v>
      </c>
      <c r="N138" t="n">
        <v>0</v>
      </c>
      <c r="O138" t="n">
        <v>0</v>
      </c>
      <c r="P138" t="n">
        <v>0</v>
      </c>
      <c r="Q138" t="n">
        <v>0</v>
      </c>
      <c r="R138" s="2" t="inlineStr"/>
    </row>
    <row r="139" ht="15" customHeight="1">
      <c r="A139" t="inlineStr">
        <is>
          <t>A 42312-2019</t>
        </is>
      </c>
      <c r="B139" s="1" t="n">
        <v>43703</v>
      </c>
      <c r="C139" s="1" t="n">
        <v>45720</v>
      </c>
      <c r="D139" t="inlineStr">
        <is>
          <t>VÄSTERBOTTENS LÄN</t>
        </is>
      </c>
      <c r="E139" t="inlineStr">
        <is>
          <t>STORUMAN</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43606-2019</t>
        </is>
      </c>
      <c r="B140" s="1" t="n">
        <v>43706</v>
      </c>
      <c r="C140" s="1" t="n">
        <v>45720</v>
      </c>
      <c r="D140" t="inlineStr">
        <is>
          <t>VÄSTERBOTTENS LÄN</t>
        </is>
      </c>
      <c r="E140" t="inlineStr">
        <is>
          <t>STORUMAN</t>
        </is>
      </c>
      <c r="G140" t="n">
        <v>20.1</v>
      </c>
      <c r="H140" t="n">
        <v>0</v>
      </c>
      <c r="I140" t="n">
        <v>0</v>
      </c>
      <c r="J140" t="n">
        <v>0</v>
      </c>
      <c r="K140" t="n">
        <v>0</v>
      </c>
      <c r="L140" t="n">
        <v>0</v>
      </c>
      <c r="M140" t="n">
        <v>0</v>
      </c>
      <c r="N140" t="n">
        <v>0</v>
      </c>
      <c r="O140" t="n">
        <v>0</v>
      </c>
      <c r="P140" t="n">
        <v>0</v>
      </c>
      <c r="Q140" t="n">
        <v>0</v>
      </c>
      <c r="R140" s="2" t="inlineStr"/>
    </row>
    <row r="141" ht="15" customHeight="1">
      <c r="A141" t="inlineStr">
        <is>
          <t>A 43818-2019</t>
        </is>
      </c>
      <c r="B141" s="1" t="n">
        <v>43707</v>
      </c>
      <c r="C141" s="1" t="n">
        <v>45720</v>
      </c>
      <c r="D141" t="inlineStr">
        <is>
          <t>VÄSTERBOTTENS LÄN</t>
        </is>
      </c>
      <c r="E141" t="inlineStr">
        <is>
          <t>STORUMAN</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43986-2019</t>
        </is>
      </c>
      <c r="B142" s="1" t="n">
        <v>43709</v>
      </c>
      <c r="C142" s="1" t="n">
        <v>45720</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45242-2019</t>
        </is>
      </c>
      <c r="B143" s="1" t="n">
        <v>43713</v>
      </c>
      <c r="C143" s="1" t="n">
        <v>45720</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46471-2019</t>
        </is>
      </c>
      <c r="B144" s="1" t="n">
        <v>43719</v>
      </c>
      <c r="C144" s="1" t="n">
        <v>45720</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46645-2019</t>
        </is>
      </c>
      <c r="B145" s="1" t="n">
        <v>43719</v>
      </c>
      <c r="C145" s="1" t="n">
        <v>45720</v>
      </c>
      <c r="D145" t="inlineStr">
        <is>
          <t>VÄSTERBOTTENS LÄN</t>
        </is>
      </c>
      <c r="E145" t="inlineStr">
        <is>
          <t>STORUMAN</t>
        </is>
      </c>
      <c r="F145" t="inlineStr">
        <is>
          <t>Sveaskog</t>
        </is>
      </c>
      <c r="G145" t="n">
        <v>2.7</v>
      </c>
      <c r="H145" t="n">
        <v>0</v>
      </c>
      <c r="I145" t="n">
        <v>0</v>
      </c>
      <c r="J145" t="n">
        <v>0</v>
      </c>
      <c r="K145" t="n">
        <v>0</v>
      </c>
      <c r="L145" t="n">
        <v>0</v>
      </c>
      <c r="M145" t="n">
        <v>0</v>
      </c>
      <c r="N145" t="n">
        <v>0</v>
      </c>
      <c r="O145" t="n">
        <v>0</v>
      </c>
      <c r="P145" t="n">
        <v>0</v>
      </c>
      <c r="Q145" t="n">
        <v>0</v>
      </c>
      <c r="R145" s="2" t="inlineStr"/>
    </row>
    <row r="146" ht="15" customHeight="1">
      <c r="A146" t="inlineStr">
        <is>
          <t>A 46612-2019</t>
        </is>
      </c>
      <c r="B146" s="1" t="n">
        <v>43719</v>
      </c>
      <c r="C146" s="1" t="n">
        <v>45720</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46655-2019</t>
        </is>
      </c>
      <c r="B147" s="1" t="n">
        <v>43719</v>
      </c>
      <c r="C147" s="1" t="n">
        <v>45720</v>
      </c>
      <c r="D147" t="inlineStr">
        <is>
          <t>VÄSTERBOTTENS LÄN</t>
        </is>
      </c>
      <c r="E147" t="inlineStr">
        <is>
          <t>STORUMAN</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46758-2019</t>
        </is>
      </c>
      <c r="B148" s="1" t="n">
        <v>43720</v>
      </c>
      <c r="C148" s="1" t="n">
        <v>45720</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47932-2019</t>
        </is>
      </c>
      <c r="B149" s="1" t="n">
        <v>43725</v>
      </c>
      <c r="C149" s="1" t="n">
        <v>45720</v>
      </c>
      <c r="D149" t="inlineStr">
        <is>
          <t>VÄSTERBOTTENS LÄN</t>
        </is>
      </c>
      <c r="E149" t="inlineStr">
        <is>
          <t>STORUMAN</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49034-2019</t>
        </is>
      </c>
      <c r="B150" s="1" t="n">
        <v>43731</v>
      </c>
      <c r="C150" s="1" t="n">
        <v>45720</v>
      </c>
      <c r="D150" t="inlineStr">
        <is>
          <t>VÄSTERBOTTENS LÄN</t>
        </is>
      </c>
      <c r="E150" t="inlineStr">
        <is>
          <t>STORUMAN</t>
        </is>
      </c>
      <c r="F150" t="inlineStr">
        <is>
          <t>Sveaskog</t>
        </is>
      </c>
      <c r="G150" t="n">
        <v>29.4</v>
      </c>
      <c r="H150" t="n">
        <v>0</v>
      </c>
      <c r="I150" t="n">
        <v>0</v>
      </c>
      <c r="J150" t="n">
        <v>0</v>
      </c>
      <c r="K150" t="n">
        <v>0</v>
      </c>
      <c r="L150" t="n">
        <v>0</v>
      </c>
      <c r="M150" t="n">
        <v>0</v>
      </c>
      <c r="N150" t="n">
        <v>0</v>
      </c>
      <c r="O150" t="n">
        <v>0</v>
      </c>
      <c r="P150" t="n">
        <v>0</v>
      </c>
      <c r="Q150" t="n">
        <v>0</v>
      </c>
      <c r="R150" s="2" t="inlineStr"/>
    </row>
    <row r="151" ht="15" customHeight="1">
      <c r="A151" t="inlineStr">
        <is>
          <t>A 49598-2019</t>
        </is>
      </c>
      <c r="B151" s="1" t="n">
        <v>43732</v>
      </c>
      <c r="C151" s="1" t="n">
        <v>45720</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49974-2019</t>
        </is>
      </c>
      <c r="B152" s="1" t="n">
        <v>43733</v>
      </c>
      <c r="C152" s="1" t="n">
        <v>45720</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50237-2019</t>
        </is>
      </c>
      <c r="B153" s="1" t="n">
        <v>43734</v>
      </c>
      <c r="C153" s="1" t="n">
        <v>45720</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50228-2019</t>
        </is>
      </c>
      <c r="B154" s="1" t="n">
        <v>43734</v>
      </c>
      <c r="C154" s="1" t="n">
        <v>45720</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50239-2019</t>
        </is>
      </c>
      <c r="B155" s="1" t="n">
        <v>43734</v>
      </c>
      <c r="C155" s="1" t="n">
        <v>45720</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50217-2019</t>
        </is>
      </c>
      <c r="B156" s="1" t="n">
        <v>43734</v>
      </c>
      <c r="C156" s="1" t="n">
        <v>45720</v>
      </c>
      <c r="D156" t="inlineStr">
        <is>
          <t>VÄSTERBOTTENS LÄN</t>
        </is>
      </c>
      <c r="E156" t="inlineStr">
        <is>
          <t>STORUMAN</t>
        </is>
      </c>
      <c r="G156" t="n">
        <v>1.7</v>
      </c>
      <c r="H156" t="n">
        <v>0</v>
      </c>
      <c r="I156" t="n">
        <v>0</v>
      </c>
      <c r="J156" t="n">
        <v>0</v>
      </c>
      <c r="K156" t="n">
        <v>0</v>
      </c>
      <c r="L156" t="n">
        <v>0</v>
      </c>
      <c r="M156" t="n">
        <v>0</v>
      </c>
      <c r="N156" t="n">
        <v>0</v>
      </c>
      <c r="O156" t="n">
        <v>0</v>
      </c>
      <c r="P156" t="n">
        <v>0</v>
      </c>
      <c r="Q156" t="n">
        <v>0</v>
      </c>
      <c r="R156" s="2" t="inlineStr"/>
    </row>
    <row r="157" ht="15" customHeight="1">
      <c r="A157" t="inlineStr">
        <is>
          <t>A 50235-2019</t>
        </is>
      </c>
      <c r="B157" s="1" t="n">
        <v>43734</v>
      </c>
      <c r="C157" s="1" t="n">
        <v>45720</v>
      </c>
      <c r="D157" t="inlineStr">
        <is>
          <t>VÄSTERBOTTENS LÄN</t>
        </is>
      </c>
      <c r="E157" t="inlineStr">
        <is>
          <t>STORUMAN</t>
        </is>
      </c>
      <c r="G157" t="n">
        <v>1.8</v>
      </c>
      <c r="H157" t="n">
        <v>0</v>
      </c>
      <c r="I157" t="n">
        <v>0</v>
      </c>
      <c r="J157" t="n">
        <v>0</v>
      </c>
      <c r="K157" t="n">
        <v>0</v>
      </c>
      <c r="L157" t="n">
        <v>0</v>
      </c>
      <c r="M157" t="n">
        <v>0</v>
      </c>
      <c r="N157" t="n">
        <v>0</v>
      </c>
      <c r="O157" t="n">
        <v>0</v>
      </c>
      <c r="P157" t="n">
        <v>0</v>
      </c>
      <c r="Q157" t="n">
        <v>0</v>
      </c>
      <c r="R157" s="2" t="inlineStr"/>
    </row>
    <row r="158" ht="15" customHeight="1">
      <c r="A158" t="inlineStr">
        <is>
          <t>A 50221-2019</t>
        </is>
      </c>
      <c r="B158" s="1" t="n">
        <v>43734</v>
      </c>
      <c r="C158" s="1" t="n">
        <v>45720</v>
      </c>
      <c r="D158" t="inlineStr">
        <is>
          <t>VÄSTERBOTTENS LÄN</t>
        </is>
      </c>
      <c r="E158" t="inlineStr">
        <is>
          <t>STORUMAN</t>
        </is>
      </c>
      <c r="G158" t="n">
        <v>0.9</v>
      </c>
      <c r="H158" t="n">
        <v>0</v>
      </c>
      <c r="I158" t="n">
        <v>0</v>
      </c>
      <c r="J158" t="n">
        <v>0</v>
      </c>
      <c r="K158" t="n">
        <v>0</v>
      </c>
      <c r="L158" t="n">
        <v>0</v>
      </c>
      <c r="M158" t="n">
        <v>0</v>
      </c>
      <c r="N158" t="n">
        <v>0</v>
      </c>
      <c r="O158" t="n">
        <v>0</v>
      </c>
      <c r="P158" t="n">
        <v>0</v>
      </c>
      <c r="Q158" t="n">
        <v>0</v>
      </c>
      <c r="R158" s="2" t="inlineStr"/>
    </row>
    <row r="159" ht="15" customHeight="1">
      <c r="A159" t="inlineStr">
        <is>
          <t>A 56278-2019</t>
        </is>
      </c>
      <c r="B159" s="1" t="n">
        <v>43756</v>
      </c>
      <c r="C159" s="1" t="n">
        <v>45720</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56860-2019</t>
        </is>
      </c>
      <c r="B160" s="1" t="n">
        <v>43766</v>
      </c>
      <c r="C160" s="1" t="n">
        <v>45720</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56911-2019</t>
        </is>
      </c>
      <c r="B161" s="1" t="n">
        <v>43766</v>
      </c>
      <c r="C161" s="1" t="n">
        <v>45720</v>
      </c>
      <c r="D161" t="inlineStr">
        <is>
          <t>VÄSTERBOTTENS LÄN</t>
        </is>
      </c>
      <c r="E161" t="inlineStr">
        <is>
          <t>STORUMAN</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45720</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45720</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45720</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45720</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45720</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45720</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45720</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45720</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45720</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45720</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45720</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45720</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45720</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45720</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45720</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45720</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45720</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45720</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45720</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45720</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45720</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45720</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45720</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45720</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45720</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45720</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45720</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45720</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45720</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45720</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45720</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45720</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45720</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45720</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45720</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45720</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45720</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45720</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40845-2020</t>
        </is>
      </c>
      <c r="B200" s="1" t="n">
        <v>44070</v>
      </c>
      <c r="C200" s="1" t="n">
        <v>45720</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42121-2020</t>
        </is>
      </c>
      <c r="B201" s="1" t="n">
        <v>44075</v>
      </c>
      <c r="C201" s="1" t="n">
        <v>45720</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42124-2020</t>
        </is>
      </c>
      <c r="B202" s="1" t="n">
        <v>44075</v>
      </c>
      <c r="C202" s="1" t="n">
        <v>45720</v>
      </c>
      <c r="D202" t="inlineStr">
        <is>
          <t>VÄSTERBOTTENS LÄN</t>
        </is>
      </c>
      <c r="E202" t="inlineStr">
        <is>
          <t>STORUMAN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43695-2020</t>
        </is>
      </c>
      <c r="B203" s="1" t="n">
        <v>44078</v>
      </c>
      <c r="C203" s="1" t="n">
        <v>45720</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43901-2020</t>
        </is>
      </c>
      <c r="B204" s="1" t="n">
        <v>44078</v>
      </c>
      <c r="C204" s="1" t="n">
        <v>45720</v>
      </c>
      <c r="D204" t="inlineStr">
        <is>
          <t>VÄSTERBOTTENS LÄN</t>
        </is>
      </c>
      <c r="E204" t="inlineStr">
        <is>
          <t>STORUMAN</t>
        </is>
      </c>
      <c r="F204" t="inlineStr">
        <is>
          <t>Allmännings- och besparingsskogar</t>
        </is>
      </c>
      <c r="G204" t="n">
        <v>89.59999999999999</v>
      </c>
      <c r="H204" t="n">
        <v>0</v>
      </c>
      <c r="I204" t="n">
        <v>0</v>
      </c>
      <c r="J204" t="n">
        <v>0</v>
      </c>
      <c r="K204" t="n">
        <v>0</v>
      </c>
      <c r="L204" t="n">
        <v>0</v>
      </c>
      <c r="M204" t="n">
        <v>0</v>
      </c>
      <c r="N204" t="n">
        <v>0</v>
      </c>
      <c r="O204" t="n">
        <v>0</v>
      </c>
      <c r="P204" t="n">
        <v>0</v>
      </c>
      <c r="Q204" t="n">
        <v>0</v>
      </c>
      <c r="R204" s="2" t="inlineStr"/>
    </row>
    <row r="205" ht="15" customHeight="1">
      <c r="A205" t="inlineStr">
        <is>
          <t>A 43922-2020</t>
        </is>
      </c>
      <c r="B205" s="1" t="n">
        <v>44078</v>
      </c>
      <c r="C205" s="1" t="n">
        <v>45720</v>
      </c>
      <c r="D205" t="inlineStr">
        <is>
          <t>VÄSTERBOTTENS LÄN</t>
        </is>
      </c>
      <c r="E205" t="inlineStr">
        <is>
          <t>STORUMAN</t>
        </is>
      </c>
      <c r="F205" t="inlineStr">
        <is>
          <t>Allmännings- och besparingsskogar</t>
        </is>
      </c>
      <c r="G205" t="n">
        <v>49.7</v>
      </c>
      <c r="H205" t="n">
        <v>0</v>
      </c>
      <c r="I205" t="n">
        <v>0</v>
      </c>
      <c r="J205" t="n">
        <v>0</v>
      </c>
      <c r="K205" t="n">
        <v>0</v>
      </c>
      <c r="L205" t="n">
        <v>0</v>
      </c>
      <c r="M205" t="n">
        <v>0</v>
      </c>
      <c r="N205" t="n">
        <v>0</v>
      </c>
      <c r="O205" t="n">
        <v>0</v>
      </c>
      <c r="P205" t="n">
        <v>0</v>
      </c>
      <c r="Q205" t="n">
        <v>0</v>
      </c>
      <c r="R205" s="2" t="inlineStr"/>
    </row>
    <row r="206" ht="15" customHeight="1">
      <c r="A206" t="inlineStr">
        <is>
          <t>A 43926-2020</t>
        </is>
      </c>
      <c r="B206" s="1" t="n">
        <v>44078</v>
      </c>
      <c r="C206" s="1" t="n">
        <v>45720</v>
      </c>
      <c r="D206" t="inlineStr">
        <is>
          <t>VÄSTERBOTTENS LÄN</t>
        </is>
      </c>
      <c r="E206" t="inlineStr">
        <is>
          <t>STORUMAN</t>
        </is>
      </c>
      <c r="F206" t="inlineStr">
        <is>
          <t>Allmännings- och besparingsskogar</t>
        </is>
      </c>
      <c r="G206" t="n">
        <v>55.6</v>
      </c>
      <c r="H206" t="n">
        <v>0</v>
      </c>
      <c r="I206" t="n">
        <v>0</v>
      </c>
      <c r="J206" t="n">
        <v>0</v>
      </c>
      <c r="K206" t="n">
        <v>0</v>
      </c>
      <c r="L206" t="n">
        <v>0</v>
      </c>
      <c r="M206" t="n">
        <v>0</v>
      </c>
      <c r="N206" t="n">
        <v>0</v>
      </c>
      <c r="O206" t="n">
        <v>0</v>
      </c>
      <c r="P206" t="n">
        <v>0</v>
      </c>
      <c r="Q206" t="n">
        <v>0</v>
      </c>
      <c r="R206" s="2" t="inlineStr"/>
    </row>
    <row r="207" ht="15" customHeight="1">
      <c r="A207" t="inlineStr">
        <is>
          <t>A 46573-2020</t>
        </is>
      </c>
      <c r="B207" s="1" t="n">
        <v>44095</v>
      </c>
      <c r="C207" s="1" t="n">
        <v>45720</v>
      </c>
      <c r="D207" t="inlineStr">
        <is>
          <t>VÄSTERBOTTENS LÄN</t>
        </is>
      </c>
      <c r="E207" t="inlineStr">
        <is>
          <t>STORUMAN</t>
        </is>
      </c>
      <c r="G207" t="n">
        <v>0.1</v>
      </c>
      <c r="H207" t="n">
        <v>0</v>
      </c>
      <c r="I207" t="n">
        <v>0</v>
      </c>
      <c r="J207" t="n">
        <v>0</v>
      </c>
      <c r="K207" t="n">
        <v>0</v>
      </c>
      <c r="L207" t="n">
        <v>0</v>
      </c>
      <c r="M207" t="n">
        <v>0</v>
      </c>
      <c r="N207" t="n">
        <v>0</v>
      </c>
      <c r="O207" t="n">
        <v>0</v>
      </c>
      <c r="P207" t="n">
        <v>0</v>
      </c>
      <c r="Q207" t="n">
        <v>0</v>
      </c>
      <c r="R207" s="2" t="inlineStr"/>
    </row>
    <row r="208" ht="15" customHeight="1">
      <c r="A208" t="inlineStr">
        <is>
          <t>A 47491-2020</t>
        </is>
      </c>
      <c r="B208" s="1" t="n">
        <v>44095</v>
      </c>
      <c r="C208" s="1" t="n">
        <v>45720</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50005-2020</t>
        </is>
      </c>
      <c r="B209" s="1" t="n">
        <v>44109</v>
      </c>
      <c r="C209" s="1" t="n">
        <v>45720</v>
      </c>
      <c r="D209" t="inlineStr">
        <is>
          <t>VÄSTERBOTTENS LÄN</t>
        </is>
      </c>
      <c r="E209" t="inlineStr">
        <is>
          <t>STORUMAN</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49981-2020</t>
        </is>
      </c>
      <c r="B210" s="1" t="n">
        <v>44109</v>
      </c>
      <c r="C210" s="1" t="n">
        <v>45720</v>
      </c>
      <c r="D210" t="inlineStr">
        <is>
          <t>VÄSTERBOTTENS LÄN</t>
        </is>
      </c>
      <c r="E210" t="inlineStr">
        <is>
          <t>STORUMAN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49948-2020</t>
        </is>
      </c>
      <c r="B211" s="1" t="n">
        <v>44109</v>
      </c>
      <c r="C211" s="1" t="n">
        <v>45720</v>
      </c>
      <c r="D211" t="inlineStr">
        <is>
          <t>VÄSTERBOTTENS LÄN</t>
        </is>
      </c>
      <c r="E211" t="inlineStr">
        <is>
          <t>STORUMAN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50014-2020</t>
        </is>
      </c>
      <c r="B212" s="1" t="n">
        <v>44109</v>
      </c>
      <c r="C212" s="1" t="n">
        <v>45720</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51001-2020</t>
        </is>
      </c>
      <c r="B213" s="1" t="n">
        <v>44111</v>
      </c>
      <c r="C213" s="1" t="n">
        <v>45720</v>
      </c>
      <c r="D213" t="inlineStr">
        <is>
          <t>VÄSTERBOTTENS LÄN</t>
        </is>
      </c>
      <c r="E213" t="inlineStr">
        <is>
          <t>STORUMAN</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55486-2020</t>
        </is>
      </c>
      <c r="B214" s="1" t="n">
        <v>44131</v>
      </c>
      <c r="C214" s="1" t="n">
        <v>45720</v>
      </c>
      <c r="D214" t="inlineStr">
        <is>
          <t>VÄSTERBOTTENS LÄN</t>
        </is>
      </c>
      <c r="E214" t="inlineStr">
        <is>
          <t>STORUMAN</t>
        </is>
      </c>
      <c r="G214" t="n">
        <v>62.4</v>
      </c>
      <c r="H214" t="n">
        <v>0</v>
      </c>
      <c r="I214" t="n">
        <v>0</v>
      </c>
      <c r="J214" t="n">
        <v>0</v>
      </c>
      <c r="K214" t="n">
        <v>0</v>
      </c>
      <c r="L214" t="n">
        <v>0</v>
      </c>
      <c r="M214" t="n">
        <v>0</v>
      </c>
      <c r="N214" t="n">
        <v>0</v>
      </c>
      <c r="O214" t="n">
        <v>0</v>
      </c>
      <c r="P214" t="n">
        <v>0</v>
      </c>
      <c r="Q214" t="n">
        <v>0</v>
      </c>
      <c r="R214" s="2" t="inlineStr"/>
    </row>
    <row r="215" ht="15" customHeight="1">
      <c r="A215" t="inlineStr">
        <is>
          <t>A 61672-2020</t>
        </is>
      </c>
      <c r="B215" s="1" t="n">
        <v>44155</v>
      </c>
      <c r="C215" s="1" t="n">
        <v>45720</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63874-2020</t>
        </is>
      </c>
      <c r="B216" s="1" t="n">
        <v>44166</v>
      </c>
      <c r="C216" s="1" t="n">
        <v>45720</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65321-2020</t>
        </is>
      </c>
      <c r="B217" s="1" t="n">
        <v>44169</v>
      </c>
      <c r="C217" s="1" t="n">
        <v>45720</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66232-2020</t>
        </is>
      </c>
      <c r="B218" s="1" t="n">
        <v>44175</v>
      </c>
      <c r="C218" s="1" t="n">
        <v>45720</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66786-2020</t>
        </is>
      </c>
      <c r="B219" s="1" t="n">
        <v>44175</v>
      </c>
      <c r="C219" s="1" t="n">
        <v>45720</v>
      </c>
      <c r="D219" t="inlineStr">
        <is>
          <t>VÄSTERBOTTENS LÄN</t>
        </is>
      </c>
      <c r="E219" t="inlineStr">
        <is>
          <t>STORUMAN</t>
        </is>
      </c>
      <c r="G219" t="n">
        <v>1</v>
      </c>
      <c r="H219" t="n">
        <v>0</v>
      </c>
      <c r="I219" t="n">
        <v>0</v>
      </c>
      <c r="J219" t="n">
        <v>0</v>
      </c>
      <c r="K219" t="n">
        <v>0</v>
      </c>
      <c r="L219" t="n">
        <v>0</v>
      </c>
      <c r="M219" t="n">
        <v>0</v>
      </c>
      <c r="N219" t="n">
        <v>0</v>
      </c>
      <c r="O219" t="n">
        <v>0</v>
      </c>
      <c r="P219" t="n">
        <v>0</v>
      </c>
      <c r="Q219" t="n">
        <v>0</v>
      </c>
      <c r="R219" s="2" t="inlineStr"/>
    </row>
    <row r="220" ht="15" customHeight="1">
      <c r="A220" t="inlineStr">
        <is>
          <t>A 67587-2020</t>
        </is>
      </c>
      <c r="B220" s="1" t="n">
        <v>44181</v>
      </c>
      <c r="C220" s="1" t="n">
        <v>45720</v>
      </c>
      <c r="D220" t="inlineStr">
        <is>
          <t>VÄSTERBOTTENS LÄN</t>
        </is>
      </c>
      <c r="E220" t="inlineStr">
        <is>
          <t>STORUMAN</t>
        </is>
      </c>
      <c r="G220" t="n">
        <v>0.3</v>
      </c>
      <c r="H220" t="n">
        <v>0</v>
      </c>
      <c r="I220" t="n">
        <v>0</v>
      </c>
      <c r="J220" t="n">
        <v>0</v>
      </c>
      <c r="K220" t="n">
        <v>0</v>
      </c>
      <c r="L220" t="n">
        <v>0</v>
      </c>
      <c r="M220" t="n">
        <v>0</v>
      </c>
      <c r="N220" t="n">
        <v>0</v>
      </c>
      <c r="O220" t="n">
        <v>0</v>
      </c>
      <c r="P220" t="n">
        <v>0</v>
      </c>
      <c r="Q220" t="n">
        <v>0</v>
      </c>
      <c r="R220" s="2" t="inlineStr"/>
    </row>
    <row r="221" ht="15" customHeight="1">
      <c r="A221" t="inlineStr">
        <is>
          <t>A 68499-2020</t>
        </is>
      </c>
      <c r="B221" s="1" t="n">
        <v>44186</v>
      </c>
      <c r="C221" s="1" t="n">
        <v>45720</v>
      </c>
      <c r="D221" t="inlineStr">
        <is>
          <t>VÄSTERBOTTENS LÄN</t>
        </is>
      </c>
      <c r="E221" t="inlineStr">
        <is>
          <t>STORUMAN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68494-2020</t>
        </is>
      </c>
      <c r="B222" s="1" t="n">
        <v>44186</v>
      </c>
      <c r="C222" s="1" t="n">
        <v>45720</v>
      </c>
      <c r="D222" t="inlineStr">
        <is>
          <t>VÄSTERBOTTENS LÄN</t>
        </is>
      </c>
      <c r="E222" t="inlineStr">
        <is>
          <t>STORUMAN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68505-2020</t>
        </is>
      </c>
      <c r="B223" s="1" t="n">
        <v>44186</v>
      </c>
      <c r="C223" s="1" t="n">
        <v>45720</v>
      </c>
      <c r="D223" t="inlineStr">
        <is>
          <t>VÄSTERBOTTENS LÄN</t>
        </is>
      </c>
      <c r="E223" t="inlineStr">
        <is>
          <t>STORUMAN</t>
        </is>
      </c>
      <c r="F223" t="inlineStr">
        <is>
          <t>Sveaskog</t>
        </is>
      </c>
      <c r="G223" t="n">
        <v>8</v>
      </c>
      <c r="H223" t="n">
        <v>0</v>
      </c>
      <c r="I223" t="n">
        <v>0</v>
      </c>
      <c r="J223" t="n">
        <v>0</v>
      </c>
      <c r="K223" t="n">
        <v>0</v>
      </c>
      <c r="L223" t="n">
        <v>0</v>
      </c>
      <c r="M223" t="n">
        <v>0</v>
      </c>
      <c r="N223" t="n">
        <v>0</v>
      </c>
      <c r="O223" t="n">
        <v>0</v>
      </c>
      <c r="P223" t="n">
        <v>0</v>
      </c>
      <c r="Q223" t="n">
        <v>0</v>
      </c>
      <c r="R223" s="2" t="inlineStr"/>
    </row>
    <row r="224" ht="15" customHeight="1">
      <c r="A224" t="inlineStr">
        <is>
          <t>A 3803-2021</t>
        </is>
      </c>
      <c r="B224" s="1" t="n">
        <v>44221</v>
      </c>
      <c r="C224" s="1" t="n">
        <v>45720</v>
      </c>
      <c r="D224" t="inlineStr">
        <is>
          <t>VÄSTERBOTTENS LÄN</t>
        </is>
      </c>
      <c r="E224" t="inlineStr">
        <is>
          <t>STORUMAN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6869-2021</t>
        </is>
      </c>
      <c r="B225" s="1" t="n">
        <v>44237</v>
      </c>
      <c r="C225" s="1" t="n">
        <v>45720</v>
      </c>
      <c r="D225" t="inlineStr">
        <is>
          <t>VÄSTERBOTTENS LÄN</t>
        </is>
      </c>
      <c r="E225" t="inlineStr">
        <is>
          <t>STORUMAN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7519-2021</t>
        </is>
      </c>
      <c r="B226" s="1" t="n">
        <v>44238</v>
      </c>
      <c r="C226" s="1" t="n">
        <v>45720</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8977-2021</t>
        </is>
      </c>
      <c r="B227" s="1" t="n">
        <v>44246</v>
      </c>
      <c r="C227" s="1" t="n">
        <v>45720</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10422-2021</t>
        </is>
      </c>
      <c r="B228" s="1" t="n">
        <v>44257</v>
      </c>
      <c r="C228" s="1" t="n">
        <v>45720</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10500-2021</t>
        </is>
      </c>
      <c r="B229" s="1" t="n">
        <v>44257</v>
      </c>
      <c r="C229" s="1" t="n">
        <v>45720</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10481-2021</t>
        </is>
      </c>
      <c r="B230" s="1" t="n">
        <v>44257</v>
      </c>
      <c r="C230" s="1" t="n">
        <v>45720</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45720</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11114-2021</t>
        </is>
      </c>
      <c r="B232" s="1" t="n">
        <v>44260</v>
      </c>
      <c r="C232" s="1" t="n">
        <v>45720</v>
      </c>
      <c r="D232" t="inlineStr">
        <is>
          <t>VÄSTERBOTTENS LÄN</t>
        </is>
      </c>
      <c r="E232" t="inlineStr">
        <is>
          <t>STORUMAN</t>
        </is>
      </c>
      <c r="G232" t="n">
        <v>3.3</v>
      </c>
      <c r="H232" t="n">
        <v>0</v>
      </c>
      <c r="I232" t="n">
        <v>0</v>
      </c>
      <c r="J232" t="n">
        <v>0</v>
      </c>
      <c r="K232" t="n">
        <v>0</v>
      </c>
      <c r="L232" t="n">
        <v>0</v>
      </c>
      <c r="M232" t="n">
        <v>0</v>
      </c>
      <c r="N232" t="n">
        <v>0</v>
      </c>
      <c r="O232" t="n">
        <v>0</v>
      </c>
      <c r="P232" t="n">
        <v>0</v>
      </c>
      <c r="Q232" t="n">
        <v>0</v>
      </c>
      <c r="R232" s="2" t="inlineStr"/>
    </row>
    <row r="233" ht="15" customHeight="1">
      <c r="A233" t="inlineStr">
        <is>
          <t>A 12314-2021</t>
        </is>
      </c>
      <c r="B233" s="1" t="n">
        <v>44266</v>
      </c>
      <c r="C233" s="1" t="n">
        <v>45720</v>
      </c>
      <c r="D233" t="inlineStr">
        <is>
          <t>VÄSTERBOTTENS LÄN</t>
        </is>
      </c>
      <c r="E233" t="inlineStr">
        <is>
          <t>STORUMAN</t>
        </is>
      </c>
      <c r="G233" t="n">
        <v>5.6</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45720</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12896-2021</t>
        </is>
      </c>
      <c r="B235" s="1" t="n">
        <v>44270</v>
      </c>
      <c r="C235" s="1" t="n">
        <v>45720</v>
      </c>
      <c r="D235" t="inlineStr">
        <is>
          <t>VÄSTERBOTTENS LÄN</t>
        </is>
      </c>
      <c r="E235" t="inlineStr">
        <is>
          <t>STORUMAN</t>
        </is>
      </c>
      <c r="G235" t="n">
        <v>19.9</v>
      </c>
      <c r="H235" t="n">
        <v>0</v>
      </c>
      <c r="I235" t="n">
        <v>0</v>
      </c>
      <c r="J235" t="n">
        <v>0</v>
      </c>
      <c r="K235" t="n">
        <v>0</v>
      </c>
      <c r="L235" t="n">
        <v>0</v>
      </c>
      <c r="M235" t="n">
        <v>0</v>
      </c>
      <c r="N235" t="n">
        <v>0</v>
      </c>
      <c r="O235" t="n">
        <v>0</v>
      </c>
      <c r="P235" t="n">
        <v>0</v>
      </c>
      <c r="Q235" t="n">
        <v>0</v>
      </c>
      <c r="R235" s="2" t="inlineStr"/>
    </row>
    <row r="236" ht="15" customHeight="1">
      <c r="A236" t="inlineStr">
        <is>
          <t>A 12877-2021</t>
        </is>
      </c>
      <c r="B236" s="1" t="n">
        <v>44270</v>
      </c>
      <c r="C236" s="1" t="n">
        <v>45720</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13568-2021</t>
        </is>
      </c>
      <c r="B237" s="1" t="n">
        <v>44273</v>
      </c>
      <c r="C237" s="1" t="n">
        <v>45720</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13565-2021</t>
        </is>
      </c>
      <c r="B238" s="1" t="n">
        <v>44273</v>
      </c>
      <c r="C238" s="1" t="n">
        <v>45720</v>
      </c>
      <c r="D238" t="inlineStr">
        <is>
          <t>VÄSTERBOTTENS LÄN</t>
        </is>
      </c>
      <c r="E238" t="inlineStr">
        <is>
          <t>STORUMAN</t>
        </is>
      </c>
      <c r="G238" t="n">
        <v>0.8</v>
      </c>
      <c r="H238" t="n">
        <v>0</v>
      </c>
      <c r="I238" t="n">
        <v>0</v>
      </c>
      <c r="J238" t="n">
        <v>0</v>
      </c>
      <c r="K238" t="n">
        <v>0</v>
      </c>
      <c r="L238" t="n">
        <v>0</v>
      </c>
      <c r="M238" t="n">
        <v>0</v>
      </c>
      <c r="N238" t="n">
        <v>0</v>
      </c>
      <c r="O238" t="n">
        <v>0</v>
      </c>
      <c r="P238" t="n">
        <v>0</v>
      </c>
      <c r="Q238" t="n">
        <v>0</v>
      </c>
      <c r="R238" s="2" t="inlineStr"/>
    </row>
    <row r="239" ht="15" customHeight="1">
      <c r="A239" t="inlineStr">
        <is>
          <t>A 14389-2021</t>
        </is>
      </c>
      <c r="B239" s="1" t="n">
        <v>44279</v>
      </c>
      <c r="C239" s="1" t="n">
        <v>45720</v>
      </c>
      <c r="D239" t="inlineStr">
        <is>
          <t>VÄSTERBOTTENS LÄN</t>
        </is>
      </c>
      <c r="E239" t="inlineStr">
        <is>
          <t>STORUMAN</t>
        </is>
      </c>
      <c r="G239" t="n">
        <v>1.6</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45720</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17220-2021</t>
        </is>
      </c>
      <c r="B241" s="1" t="n">
        <v>44298</v>
      </c>
      <c r="C241" s="1" t="n">
        <v>45720</v>
      </c>
      <c r="D241" t="inlineStr">
        <is>
          <t>VÄSTERBOTTENS LÄN</t>
        </is>
      </c>
      <c r="E241" t="inlineStr">
        <is>
          <t>STORUMAN</t>
        </is>
      </c>
      <c r="G241" t="n">
        <v>29.4</v>
      </c>
      <c r="H241" t="n">
        <v>0</v>
      </c>
      <c r="I241" t="n">
        <v>0</v>
      </c>
      <c r="J241" t="n">
        <v>0</v>
      </c>
      <c r="K241" t="n">
        <v>0</v>
      </c>
      <c r="L241" t="n">
        <v>0</v>
      </c>
      <c r="M241" t="n">
        <v>0</v>
      </c>
      <c r="N241" t="n">
        <v>0</v>
      </c>
      <c r="O241" t="n">
        <v>0</v>
      </c>
      <c r="P241" t="n">
        <v>0</v>
      </c>
      <c r="Q241" t="n">
        <v>0</v>
      </c>
      <c r="R241" s="2" t="inlineStr"/>
    </row>
    <row r="242" ht="15" customHeight="1">
      <c r="A242" t="inlineStr">
        <is>
          <t>A 19138-2021</t>
        </is>
      </c>
      <c r="B242" s="1" t="n">
        <v>44307</v>
      </c>
      <c r="C242" s="1" t="n">
        <v>45720</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19652-2021</t>
        </is>
      </c>
      <c r="B243" s="1" t="n">
        <v>44312</v>
      </c>
      <c r="C243" s="1" t="n">
        <v>45720</v>
      </c>
      <c r="D243" t="inlineStr">
        <is>
          <t>VÄSTERBOTTENS LÄN</t>
        </is>
      </c>
      <c r="E243" t="inlineStr">
        <is>
          <t>STORUMAN</t>
        </is>
      </c>
      <c r="G243" t="n">
        <v>26.1</v>
      </c>
      <c r="H243" t="n">
        <v>0</v>
      </c>
      <c r="I243" t="n">
        <v>0</v>
      </c>
      <c r="J243" t="n">
        <v>0</v>
      </c>
      <c r="K243" t="n">
        <v>0</v>
      </c>
      <c r="L243" t="n">
        <v>0</v>
      </c>
      <c r="M243" t="n">
        <v>0</v>
      </c>
      <c r="N243" t="n">
        <v>0</v>
      </c>
      <c r="O243" t="n">
        <v>0</v>
      </c>
      <c r="P243" t="n">
        <v>0</v>
      </c>
      <c r="Q243" t="n">
        <v>0</v>
      </c>
      <c r="R243" s="2" t="inlineStr"/>
    </row>
    <row r="244" ht="15" customHeight="1">
      <c r="A244" t="inlineStr">
        <is>
          <t>A 19667-2021</t>
        </is>
      </c>
      <c r="B244" s="1" t="n">
        <v>44312</v>
      </c>
      <c r="C244" s="1" t="n">
        <v>45720</v>
      </c>
      <c r="D244" t="inlineStr">
        <is>
          <t>VÄSTERBOTTENS LÄN</t>
        </is>
      </c>
      <c r="E244" t="inlineStr">
        <is>
          <t>STORUMAN</t>
        </is>
      </c>
      <c r="G244" t="n">
        <v>3.8</v>
      </c>
      <c r="H244" t="n">
        <v>0</v>
      </c>
      <c r="I244" t="n">
        <v>0</v>
      </c>
      <c r="J244" t="n">
        <v>0</v>
      </c>
      <c r="K244" t="n">
        <v>0</v>
      </c>
      <c r="L244" t="n">
        <v>0</v>
      </c>
      <c r="M244" t="n">
        <v>0</v>
      </c>
      <c r="N244" t="n">
        <v>0</v>
      </c>
      <c r="O244" t="n">
        <v>0</v>
      </c>
      <c r="P244" t="n">
        <v>0</v>
      </c>
      <c r="Q244" t="n">
        <v>0</v>
      </c>
      <c r="R244" s="2" t="inlineStr"/>
    </row>
    <row r="245" ht="15" customHeight="1">
      <c r="A245" t="inlineStr">
        <is>
          <t>A 19648-2021</t>
        </is>
      </c>
      <c r="B245" s="1" t="n">
        <v>44312</v>
      </c>
      <c r="C245" s="1" t="n">
        <v>45720</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21955-2021</t>
        </is>
      </c>
      <c r="B246" s="1" t="n">
        <v>44322</v>
      </c>
      <c r="C246" s="1" t="n">
        <v>45720</v>
      </c>
      <c r="D246" t="inlineStr">
        <is>
          <t>VÄSTERBOTTENS LÄN</t>
        </is>
      </c>
      <c r="E246" t="inlineStr">
        <is>
          <t>STORUMAN</t>
        </is>
      </c>
      <c r="G246" t="n">
        <v>0.5</v>
      </c>
      <c r="H246" t="n">
        <v>0</v>
      </c>
      <c r="I246" t="n">
        <v>0</v>
      </c>
      <c r="J246" t="n">
        <v>0</v>
      </c>
      <c r="K246" t="n">
        <v>0</v>
      </c>
      <c r="L246" t="n">
        <v>0</v>
      </c>
      <c r="M246" t="n">
        <v>0</v>
      </c>
      <c r="N246" t="n">
        <v>0</v>
      </c>
      <c r="O246" t="n">
        <v>0</v>
      </c>
      <c r="P246" t="n">
        <v>0</v>
      </c>
      <c r="Q246" t="n">
        <v>0</v>
      </c>
      <c r="R246" s="2" t="inlineStr"/>
    </row>
    <row r="247" ht="15" customHeight="1">
      <c r="A247" t="inlineStr">
        <is>
          <t>A 29358-2021</t>
        </is>
      </c>
      <c r="B247" s="1" t="n">
        <v>44361</v>
      </c>
      <c r="C247" s="1" t="n">
        <v>45720</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29592-2021</t>
        </is>
      </c>
      <c r="B248" s="1" t="n">
        <v>44362</v>
      </c>
      <c r="C248" s="1" t="n">
        <v>45720</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30437-2021</t>
        </is>
      </c>
      <c r="B249" s="1" t="n">
        <v>44364</v>
      </c>
      <c r="C249" s="1" t="n">
        <v>45720</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30434-2021</t>
        </is>
      </c>
      <c r="B250" s="1" t="n">
        <v>44364</v>
      </c>
      <c r="C250" s="1" t="n">
        <v>45720</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30634-2021</t>
        </is>
      </c>
      <c r="B251" s="1" t="n">
        <v>44365</v>
      </c>
      <c r="C251" s="1" t="n">
        <v>45720</v>
      </c>
      <c r="D251" t="inlineStr">
        <is>
          <t>VÄSTERBOTTENS LÄN</t>
        </is>
      </c>
      <c r="E251" t="inlineStr">
        <is>
          <t>STORUMAN</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33351-2021</t>
        </is>
      </c>
      <c r="B252" s="1" t="n">
        <v>44377</v>
      </c>
      <c r="C252" s="1" t="n">
        <v>45720</v>
      </c>
      <c r="D252" t="inlineStr">
        <is>
          <t>VÄSTERBOTTENS LÄN</t>
        </is>
      </c>
      <c r="E252" t="inlineStr">
        <is>
          <t>STORUMAN</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33341-2021</t>
        </is>
      </c>
      <c r="B253" s="1" t="n">
        <v>44377</v>
      </c>
      <c r="C253" s="1" t="n">
        <v>45720</v>
      </c>
      <c r="D253" t="inlineStr">
        <is>
          <t>VÄSTERBOTTENS LÄN</t>
        </is>
      </c>
      <c r="E253" t="inlineStr">
        <is>
          <t>STORUMAN</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36719-2021</t>
        </is>
      </c>
      <c r="B254" s="1" t="n">
        <v>44392</v>
      </c>
      <c r="C254" s="1" t="n">
        <v>45720</v>
      </c>
      <c r="D254" t="inlineStr">
        <is>
          <t>VÄSTERBOTTENS LÄN</t>
        </is>
      </c>
      <c r="E254" t="inlineStr">
        <is>
          <t>STORUMAN</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36711-2021</t>
        </is>
      </c>
      <c r="B255" s="1" t="n">
        <v>44392</v>
      </c>
      <c r="C255" s="1" t="n">
        <v>45720</v>
      </c>
      <c r="D255" t="inlineStr">
        <is>
          <t>VÄSTERBOTTENS LÄN</t>
        </is>
      </c>
      <c r="E255" t="inlineStr">
        <is>
          <t>STORUMAN</t>
        </is>
      </c>
      <c r="G255" t="n">
        <v>24.7</v>
      </c>
      <c r="H255" t="n">
        <v>0</v>
      </c>
      <c r="I255" t="n">
        <v>0</v>
      </c>
      <c r="J255" t="n">
        <v>0</v>
      </c>
      <c r="K255" t="n">
        <v>0</v>
      </c>
      <c r="L255" t="n">
        <v>0</v>
      </c>
      <c r="M255" t="n">
        <v>0</v>
      </c>
      <c r="N255" t="n">
        <v>0</v>
      </c>
      <c r="O255" t="n">
        <v>0</v>
      </c>
      <c r="P255" t="n">
        <v>0</v>
      </c>
      <c r="Q255" t="n">
        <v>0</v>
      </c>
      <c r="R255" s="2" t="inlineStr"/>
    </row>
    <row r="256" ht="15" customHeight="1">
      <c r="A256" t="inlineStr">
        <is>
          <t>A 36918-2021</t>
        </is>
      </c>
      <c r="B256" s="1" t="n">
        <v>44393</v>
      </c>
      <c r="C256" s="1" t="n">
        <v>45720</v>
      </c>
      <c r="D256" t="inlineStr">
        <is>
          <t>VÄSTERBOTTENS LÄN</t>
        </is>
      </c>
      <c r="E256" t="inlineStr">
        <is>
          <t>STORUMAN</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45720</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45720</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45720</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43202-2021</t>
        </is>
      </c>
      <c r="B260" s="1" t="n">
        <v>44431</v>
      </c>
      <c r="C260" s="1" t="n">
        <v>45720</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45766-2021</t>
        </is>
      </c>
      <c r="B261" s="1" t="n">
        <v>44441</v>
      </c>
      <c r="C261" s="1" t="n">
        <v>45720</v>
      </c>
      <c r="D261" t="inlineStr">
        <is>
          <t>VÄSTERBOTTENS LÄN</t>
        </is>
      </c>
      <c r="E261" t="inlineStr">
        <is>
          <t>STORUMAN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46366-2021</t>
        </is>
      </c>
      <c r="B262" s="1" t="n">
        <v>44442</v>
      </c>
      <c r="C262" s="1" t="n">
        <v>45720</v>
      </c>
      <c r="D262" t="inlineStr">
        <is>
          <t>VÄSTERBOTTENS LÄN</t>
        </is>
      </c>
      <c r="E262" t="inlineStr">
        <is>
          <t>STORUMAN</t>
        </is>
      </c>
      <c r="G262" t="n">
        <v>5.3</v>
      </c>
      <c r="H262" t="n">
        <v>0</v>
      </c>
      <c r="I262" t="n">
        <v>0</v>
      </c>
      <c r="J262" t="n">
        <v>0</v>
      </c>
      <c r="K262" t="n">
        <v>0</v>
      </c>
      <c r="L262" t="n">
        <v>0</v>
      </c>
      <c r="M262" t="n">
        <v>0</v>
      </c>
      <c r="N262" t="n">
        <v>0</v>
      </c>
      <c r="O262" t="n">
        <v>0</v>
      </c>
      <c r="P262" t="n">
        <v>0</v>
      </c>
      <c r="Q262" t="n">
        <v>0</v>
      </c>
      <c r="R262" s="2" t="inlineStr"/>
    </row>
    <row r="263" ht="15" customHeight="1">
      <c r="A263" t="inlineStr">
        <is>
          <t>A 46780-2021</t>
        </is>
      </c>
      <c r="B263" s="1" t="n">
        <v>44445</v>
      </c>
      <c r="C263" s="1" t="n">
        <v>45720</v>
      </c>
      <c r="D263" t="inlineStr">
        <is>
          <t>VÄSTERBOTTENS LÄN</t>
        </is>
      </c>
      <c r="E263" t="inlineStr">
        <is>
          <t>STORUMAN</t>
        </is>
      </c>
      <c r="G263" t="n">
        <v>2.1</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v>
      </c>
      <c r="C264" s="1" t="n">
        <v>45720</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48347-2021</t>
        </is>
      </c>
      <c r="B265" s="1" t="n">
        <v>44451</v>
      </c>
      <c r="C265" s="1" t="n">
        <v>45720</v>
      </c>
      <c r="D265" t="inlineStr">
        <is>
          <t>VÄSTERBOTTENS LÄN</t>
        </is>
      </c>
      <c r="E265" t="inlineStr">
        <is>
          <t>STORUMAN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48346-2021</t>
        </is>
      </c>
      <c r="B266" s="1" t="n">
        <v>44451</v>
      </c>
      <c r="C266" s="1" t="n">
        <v>45720</v>
      </c>
      <c r="D266" t="inlineStr">
        <is>
          <t>VÄSTERBOTTENS LÄN</t>
        </is>
      </c>
      <c r="E266" t="inlineStr">
        <is>
          <t>STORUMAN</t>
        </is>
      </c>
      <c r="F266" t="inlineStr">
        <is>
          <t>Sveaskog</t>
        </is>
      </c>
      <c r="G266" t="n">
        <v>49.4</v>
      </c>
      <c r="H266" t="n">
        <v>0</v>
      </c>
      <c r="I266" t="n">
        <v>0</v>
      </c>
      <c r="J266" t="n">
        <v>0</v>
      </c>
      <c r="K266" t="n">
        <v>0</v>
      </c>
      <c r="L266" t="n">
        <v>0</v>
      </c>
      <c r="M266" t="n">
        <v>0</v>
      </c>
      <c r="N266" t="n">
        <v>0</v>
      </c>
      <c r="O266" t="n">
        <v>0</v>
      </c>
      <c r="P266" t="n">
        <v>0</v>
      </c>
      <c r="Q266" t="n">
        <v>0</v>
      </c>
      <c r="R266" s="2" t="inlineStr"/>
    </row>
    <row r="267" ht="15" customHeight="1">
      <c r="A267" t="inlineStr">
        <is>
          <t>A 51981-2021</t>
        </is>
      </c>
      <c r="B267" s="1" t="n">
        <v>44462</v>
      </c>
      <c r="C267" s="1" t="n">
        <v>45720</v>
      </c>
      <c r="D267" t="inlineStr">
        <is>
          <t>VÄSTERBOTTENS LÄN</t>
        </is>
      </c>
      <c r="E267" t="inlineStr">
        <is>
          <t>STORUMAN</t>
        </is>
      </c>
      <c r="G267" t="n">
        <v>20.9</v>
      </c>
      <c r="H267" t="n">
        <v>0</v>
      </c>
      <c r="I267" t="n">
        <v>0</v>
      </c>
      <c r="J267" t="n">
        <v>0</v>
      </c>
      <c r="K267" t="n">
        <v>0</v>
      </c>
      <c r="L267" t="n">
        <v>0</v>
      </c>
      <c r="M267" t="n">
        <v>0</v>
      </c>
      <c r="N267" t="n">
        <v>0</v>
      </c>
      <c r="O267" t="n">
        <v>0</v>
      </c>
      <c r="P267" t="n">
        <v>0</v>
      </c>
      <c r="Q267" t="n">
        <v>0</v>
      </c>
      <c r="R267" s="2" t="inlineStr"/>
    </row>
    <row r="268" ht="15" customHeight="1">
      <c r="A268" t="inlineStr">
        <is>
          <t>A 52922-2021</t>
        </is>
      </c>
      <c r="B268" s="1" t="n">
        <v>44466</v>
      </c>
      <c r="C268" s="1" t="n">
        <v>45720</v>
      </c>
      <c r="D268" t="inlineStr">
        <is>
          <t>VÄSTERBOTTENS LÄN</t>
        </is>
      </c>
      <c r="E268" t="inlineStr">
        <is>
          <t>STORUMAN</t>
        </is>
      </c>
      <c r="G268" t="n">
        <v>0.7</v>
      </c>
      <c r="H268" t="n">
        <v>0</v>
      </c>
      <c r="I268" t="n">
        <v>0</v>
      </c>
      <c r="J268" t="n">
        <v>0</v>
      </c>
      <c r="K268" t="n">
        <v>0</v>
      </c>
      <c r="L268" t="n">
        <v>0</v>
      </c>
      <c r="M268" t="n">
        <v>0</v>
      </c>
      <c r="N268" t="n">
        <v>0</v>
      </c>
      <c r="O268" t="n">
        <v>0</v>
      </c>
      <c r="P268" t="n">
        <v>0</v>
      </c>
      <c r="Q268" t="n">
        <v>0</v>
      </c>
      <c r="R268" s="2" t="inlineStr"/>
    </row>
    <row r="269" ht="15" customHeight="1">
      <c r="A269" t="inlineStr">
        <is>
          <t>A 52911-2021</t>
        </is>
      </c>
      <c r="B269" s="1" t="n">
        <v>44466</v>
      </c>
      <c r="C269" s="1" t="n">
        <v>45720</v>
      </c>
      <c r="D269" t="inlineStr">
        <is>
          <t>VÄSTERBOTTENS LÄN</t>
        </is>
      </c>
      <c r="E269" t="inlineStr">
        <is>
          <t>STORUMAN</t>
        </is>
      </c>
      <c r="G269" t="n">
        <v>1.6</v>
      </c>
      <c r="H269" t="n">
        <v>0</v>
      </c>
      <c r="I269" t="n">
        <v>0</v>
      </c>
      <c r="J269" t="n">
        <v>0</v>
      </c>
      <c r="K269" t="n">
        <v>0</v>
      </c>
      <c r="L269" t="n">
        <v>0</v>
      </c>
      <c r="M269" t="n">
        <v>0</v>
      </c>
      <c r="N269" t="n">
        <v>0</v>
      </c>
      <c r="O269" t="n">
        <v>0</v>
      </c>
      <c r="P269" t="n">
        <v>0</v>
      </c>
      <c r="Q269" t="n">
        <v>0</v>
      </c>
      <c r="R269" s="2" t="inlineStr"/>
    </row>
    <row r="270" ht="15" customHeight="1">
      <c r="A270" t="inlineStr">
        <is>
          <t>A 54792-2021</t>
        </is>
      </c>
      <c r="B270" s="1" t="n">
        <v>44474</v>
      </c>
      <c r="C270" s="1" t="n">
        <v>45720</v>
      </c>
      <c r="D270" t="inlineStr">
        <is>
          <t>VÄSTERBOTTENS LÄN</t>
        </is>
      </c>
      <c r="E270" t="inlineStr">
        <is>
          <t>STORUMAN</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54807-2021</t>
        </is>
      </c>
      <c r="B271" s="1" t="n">
        <v>44474</v>
      </c>
      <c r="C271" s="1" t="n">
        <v>45720</v>
      </c>
      <c r="D271" t="inlineStr">
        <is>
          <t>VÄSTERBOTTENS LÄN</t>
        </is>
      </c>
      <c r="E271" t="inlineStr">
        <is>
          <t>STORUMAN</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54796-2021</t>
        </is>
      </c>
      <c r="B272" s="1" t="n">
        <v>44474</v>
      </c>
      <c r="C272" s="1" t="n">
        <v>45720</v>
      </c>
      <c r="D272" t="inlineStr">
        <is>
          <t>VÄSTERBOTTENS LÄN</t>
        </is>
      </c>
      <c r="E272" t="inlineStr">
        <is>
          <t>STORUMAN</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45720</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56517-2021</t>
        </is>
      </c>
      <c r="B274" s="1" t="n">
        <v>44480</v>
      </c>
      <c r="C274" s="1" t="n">
        <v>45720</v>
      </c>
      <c r="D274" t="inlineStr">
        <is>
          <t>VÄSTERBOTTENS LÄN</t>
        </is>
      </c>
      <c r="E274" t="inlineStr">
        <is>
          <t>STORUMAN</t>
        </is>
      </c>
      <c r="G274" t="n">
        <v>9.9</v>
      </c>
      <c r="H274" t="n">
        <v>0</v>
      </c>
      <c r="I274" t="n">
        <v>0</v>
      </c>
      <c r="J274" t="n">
        <v>0</v>
      </c>
      <c r="K274" t="n">
        <v>0</v>
      </c>
      <c r="L274" t="n">
        <v>0</v>
      </c>
      <c r="M274" t="n">
        <v>0</v>
      </c>
      <c r="N274" t="n">
        <v>0</v>
      </c>
      <c r="O274" t="n">
        <v>0</v>
      </c>
      <c r="P274" t="n">
        <v>0</v>
      </c>
      <c r="Q274" t="n">
        <v>0</v>
      </c>
      <c r="R274" s="2" t="inlineStr"/>
    </row>
    <row r="275" ht="15" customHeight="1">
      <c r="A275" t="inlineStr">
        <is>
          <t>A 56533-2021</t>
        </is>
      </c>
      <c r="B275" s="1" t="n">
        <v>44480</v>
      </c>
      <c r="C275" s="1" t="n">
        <v>45720</v>
      </c>
      <c r="D275" t="inlineStr">
        <is>
          <t>VÄSTERBOTTENS LÄN</t>
        </is>
      </c>
      <c r="E275" t="inlineStr">
        <is>
          <t>STORUMAN</t>
        </is>
      </c>
      <c r="G275" t="n">
        <v>19.4</v>
      </c>
      <c r="H275" t="n">
        <v>0</v>
      </c>
      <c r="I275" t="n">
        <v>0</v>
      </c>
      <c r="J275" t="n">
        <v>0</v>
      </c>
      <c r="K275" t="n">
        <v>0</v>
      </c>
      <c r="L275" t="n">
        <v>0</v>
      </c>
      <c r="M275" t="n">
        <v>0</v>
      </c>
      <c r="N275" t="n">
        <v>0</v>
      </c>
      <c r="O275" t="n">
        <v>0</v>
      </c>
      <c r="P275" t="n">
        <v>0</v>
      </c>
      <c r="Q275" t="n">
        <v>0</v>
      </c>
      <c r="R275" s="2" t="inlineStr"/>
    </row>
    <row r="276" ht="15" customHeight="1">
      <c r="A276" t="inlineStr">
        <is>
          <t>A 56879-2021</t>
        </is>
      </c>
      <c r="B276" s="1" t="n">
        <v>44481</v>
      </c>
      <c r="C276" s="1" t="n">
        <v>45720</v>
      </c>
      <c r="D276" t="inlineStr">
        <is>
          <t>VÄSTERBOTTENS LÄN</t>
        </is>
      </c>
      <c r="E276" t="inlineStr">
        <is>
          <t>STORUMAN</t>
        </is>
      </c>
      <c r="G276" t="n">
        <v>32.2</v>
      </c>
      <c r="H276" t="n">
        <v>0</v>
      </c>
      <c r="I276" t="n">
        <v>0</v>
      </c>
      <c r="J276" t="n">
        <v>0</v>
      </c>
      <c r="K276" t="n">
        <v>0</v>
      </c>
      <c r="L276" t="n">
        <v>0</v>
      </c>
      <c r="M276" t="n">
        <v>0</v>
      </c>
      <c r="N276" t="n">
        <v>0</v>
      </c>
      <c r="O276" t="n">
        <v>0</v>
      </c>
      <c r="P276" t="n">
        <v>0</v>
      </c>
      <c r="Q276" t="n">
        <v>0</v>
      </c>
      <c r="R276" s="2" t="inlineStr"/>
    </row>
    <row r="277" ht="15" customHeight="1">
      <c r="A277" t="inlineStr">
        <is>
          <t>A 58428-2021</t>
        </is>
      </c>
      <c r="B277" s="1" t="n">
        <v>44488</v>
      </c>
      <c r="C277" s="1" t="n">
        <v>45720</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61431-2021</t>
        </is>
      </c>
      <c r="B278" s="1" t="n">
        <v>44500</v>
      </c>
      <c r="C278" s="1" t="n">
        <v>45720</v>
      </c>
      <c r="D278" t="inlineStr">
        <is>
          <t>VÄSTERBOTTENS LÄN</t>
        </is>
      </c>
      <c r="E278" t="inlineStr">
        <is>
          <t>STORUMAN</t>
        </is>
      </c>
      <c r="F278" t="inlineStr">
        <is>
          <t>SCA</t>
        </is>
      </c>
      <c r="G278" t="n">
        <v>0.2</v>
      </c>
      <c r="H278" t="n">
        <v>0</v>
      </c>
      <c r="I278" t="n">
        <v>0</v>
      </c>
      <c r="J278" t="n">
        <v>0</v>
      </c>
      <c r="K278" t="n">
        <v>0</v>
      </c>
      <c r="L278" t="n">
        <v>0</v>
      </c>
      <c r="M278" t="n">
        <v>0</v>
      </c>
      <c r="N278" t="n">
        <v>0</v>
      </c>
      <c r="O278" t="n">
        <v>0</v>
      </c>
      <c r="P278" t="n">
        <v>0</v>
      </c>
      <c r="Q278" t="n">
        <v>0</v>
      </c>
      <c r="R278" s="2" t="inlineStr"/>
    </row>
    <row r="279" ht="15" customHeight="1">
      <c r="A279" t="inlineStr">
        <is>
          <t>A 65463-2021</t>
        </is>
      </c>
      <c r="B279" s="1" t="n">
        <v>44515</v>
      </c>
      <c r="C279" s="1" t="n">
        <v>45720</v>
      </c>
      <c r="D279" t="inlineStr">
        <is>
          <t>VÄSTERBOTTENS LÄN</t>
        </is>
      </c>
      <c r="E279" t="inlineStr">
        <is>
          <t>STORUMAN</t>
        </is>
      </c>
      <c r="G279" t="n">
        <v>14.6</v>
      </c>
      <c r="H279" t="n">
        <v>0</v>
      </c>
      <c r="I279" t="n">
        <v>0</v>
      </c>
      <c r="J279" t="n">
        <v>0</v>
      </c>
      <c r="K279" t="n">
        <v>0</v>
      </c>
      <c r="L279" t="n">
        <v>0</v>
      </c>
      <c r="M279" t="n">
        <v>0</v>
      </c>
      <c r="N279" t="n">
        <v>0</v>
      </c>
      <c r="O279" t="n">
        <v>0</v>
      </c>
      <c r="P279" t="n">
        <v>0</v>
      </c>
      <c r="Q279" t="n">
        <v>0</v>
      </c>
      <c r="R279" s="2" t="inlineStr"/>
    </row>
    <row r="280" ht="15" customHeight="1">
      <c r="A280" t="inlineStr">
        <is>
          <t>A 66374-2021</t>
        </is>
      </c>
      <c r="B280" s="1" t="n">
        <v>44518</v>
      </c>
      <c r="C280" s="1" t="n">
        <v>45720</v>
      </c>
      <c r="D280" t="inlineStr">
        <is>
          <t>VÄSTERBOTTENS LÄN</t>
        </is>
      </c>
      <c r="E280" t="inlineStr">
        <is>
          <t>STORUMAN</t>
        </is>
      </c>
      <c r="F280" t="inlineStr">
        <is>
          <t>Sveaskog</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71850-2021</t>
        </is>
      </c>
      <c r="B281" s="1" t="n">
        <v>44543</v>
      </c>
      <c r="C281" s="1" t="n">
        <v>45720</v>
      </c>
      <c r="D281" t="inlineStr">
        <is>
          <t>VÄSTERBOTTENS LÄN</t>
        </is>
      </c>
      <c r="E281" t="inlineStr">
        <is>
          <t>STORUMAN</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72281-2021</t>
        </is>
      </c>
      <c r="B282" s="1" t="n">
        <v>44543</v>
      </c>
      <c r="C282" s="1" t="n">
        <v>45720</v>
      </c>
      <c r="D282" t="inlineStr">
        <is>
          <t>VÄSTERBOTTENS LÄN</t>
        </is>
      </c>
      <c r="E282" t="inlineStr">
        <is>
          <t>STORUMAN</t>
        </is>
      </c>
      <c r="G282" t="n">
        <v>18.5</v>
      </c>
      <c r="H282" t="n">
        <v>0</v>
      </c>
      <c r="I282" t="n">
        <v>0</v>
      </c>
      <c r="J282" t="n">
        <v>0</v>
      </c>
      <c r="K282" t="n">
        <v>0</v>
      </c>
      <c r="L282" t="n">
        <v>0</v>
      </c>
      <c r="M282" t="n">
        <v>0</v>
      </c>
      <c r="N282" t="n">
        <v>0</v>
      </c>
      <c r="O282" t="n">
        <v>0</v>
      </c>
      <c r="P282" t="n">
        <v>0</v>
      </c>
      <c r="Q282" t="n">
        <v>0</v>
      </c>
      <c r="R282" s="2" t="inlineStr"/>
    </row>
    <row r="283" ht="15" customHeight="1">
      <c r="A283" t="inlineStr">
        <is>
          <t>A 72093-2021</t>
        </is>
      </c>
      <c r="B283" s="1" t="n">
        <v>44543</v>
      </c>
      <c r="C283" s="1" t="n">
        <v>45720</v>
      </c>
      <c r="D283" t="inlineStr">
        <is>
          <t>VÄSTERBOTTENS LÄN</t>
        </is>
      </c>
      <c r="E283" t="inlineStr">
        <is>
          <t>STORUMAN</t>
        </is>
      </c>
      <c r="G283" t="n">
        <v>6.4</v>
      </c>
      <c r="H283" t="n">
        <v>0</v>
      </c>
      <c r="I283" t="n">
        <v>0</v>
      </c>
      <c r="J283" t="n">
        <v>0</v>
      </c>
      <c r="K283" t="n">
        <v>0</v>
      </c>
      <c r="L283" t="n">
        <v>0</v>
      </c>
      <c r="M283" t="n">
        <v>0</v>
      </c>
      <c r="N283" t="n">
        <v>0</v>
      </c>
      <c r="O283" t="n">
        <v>0</v>
      </c>
      <c r="P283" t="n">
        <v>0</v>
      </c>
      <c r="Q283" t="n">
        <v>0</v>
      </c>
      <c r="R283" s="2" t="inlineStr"/>
    </row>
    <row r="284" ht="15" customHeight="1">
      <c r="A284" t="inlineStr">
        <is>
          <t>A 72276-2021</t>
        </is>
      </c>
      <c r="B284" s="1" t="n">
        <v>44543</v>
      </c>
      <c r="C284" s="1" t="n">
        <v>45720</v>
      </c>
      <c r="D284" t="inlineStr">
        <is>
          <t>VÄSTERBOTTENS LÄN</t>
        </is>
      </c>
      <c r="E284" t="inlineStr">
        <is>
          <t>STORUMAN</t>
        </is>
      </c>
      <c r="G284" t="n">
        <v>19.8</v>
      </c>
      <c r="H284" t="n">
        <v>0</v>
      </c>
      <c r="I284" t="n">
        <v>0</v>
      </c>
      <c r="J284" t="n">
        <v>0</v>
      </c>
      <c r="K284" t="n">
        <v>0</v>
      </c>
      <c r="L284" t="n">
        <v>0</v>
      </c>
      <c r="M284" t="n">
        <v>0</v>
      </c>
      <c r="N284" t="n">
        <v>0</v>
      </c>
      <c r="O284" t="n">
        <v>0</v>
      </c>
      <c r="P284" t="n">
        <v>0</v>
      </c>
      <c r="Q284" t="n">
        <v>0</v>
      </c>
      <c r="R284" s="2" t="inlineStr"/>
    </row>
    <row r="285" ht="15" customHeight="1">
      <c r="A285" t="inlineStr">
        <is>
          <t>A 72289-2021</t>
        </is>
      </c>
      <c r="B285" s="1" t="n">
        <v>44543</v>
      </c>
      <c r="C285" s="1" t="n">
        <v>45720</v>
      </c>
      <c r="D285" t="inlineStr">
        <is>
          <t>VÄSTERBOTTENS LÄN</t>
        </is>
      </c>
      <c r="E285" t="inlineStr">
        <is>
          <t>STORUMAN</t>
        </is>
      </c>
      <c r="G285" t="n">
        <v>19.7</v>
      </c>
      <c r="H285" t="n">
        <v>0</v>
      </c>
      <c r="I285" t="n">
        <v>0</v>
      </c>
      <c r="J285" t="n">
        <v>0</v>
      </c>
      <c r="K285" t="n">
        <v>0</v>
      </c>
      <c r="L285" t="n">
        <v>0</v>
      </c>
      <c r="M285" t="n">
        <v>0</v>
      </c>
      <c r="N285" t="n">
        <v>0</v>
      </c>
      <c r="O285" t="n">
        <v>0</v>
      </c>
      <c r="P285" t="n">
        <v>0</v>
      </c>
      <c r="Q285" t="n">
        <v>0</v>
      </c>
      <c r="R285" s="2" t="inlineStr"/>
    </row>
    <row r="286" ht="15" customHeight="1">
      <c r="A286" t="inlineStr">
        <is>
          <t>A 73054-2021</t>
        </is>
      </c>
      <c r="B286" s="1" t="n">
        <v>44550</v>
      </c>
      <c r="C286" s="1" t="n">
        <v>45720</v>
      </c>
      <c r="D286" t="inlineStr">
        <is>
          <t>VÄSTERBOTTENS LÄN</t>
        </is>
      </c>
      <c r="E286" t="inlineStr">
        <is>
          <t>STORUMAN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73444-2021</t>
        </is>
      </c>
      <c r="B287" s="1" t="n">
        <v>44551</v>
      </c>
      <c r="C287" s="1" t="n">
        <v>45720</v>
      </c>
      <c r="D287" t="inlineStr">
        <is>
          <t>VÄSTERBOTTENS LÄN</t>
        </is>
      </c>
      <c r="E287" t="inlineStr">
        <is>
          <t>STORUMAN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2794-2022</t>
        </is>
      </c>
      <c r="B288" s="1" t="n">
        <v>44580</v>
      </c>
      <c r="C288" s="1" t="n">
        <v>45720</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2788-2022</t>
        </is>
      </c>
      <c r="B289" s="1" t="n">
        <v>44580</v>
      </c>
      <c r="C289" s="1" t="n">
        <v>45720</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2963-2022</t>
        </is>
      </c>
      <c r="B290" s="1" t="n">
        <v>44581</v>
      </c>
      <c r="C290" s="1" t="n">
        <v>45720</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3046-2022</t>
        </is>
      </c>
      <c r="B291" s="1" t="n">
        <v>44581</v>
      </c>
      <c r="C291" s="1" t="n">
        <v>45720</v>
      </c>
      <c r="D291" t="inlineStr">
        <is>
          <t>VÄSTERBOTTENS LÄN</t>
        </is>
      </c>
      <c r="E291" t="inlineStr">
        <is>
          <t>STORUMAN</t>
        </is>
      </c>
      <c r="G291" t="n">
        <v>23.9</v>
      </c>
      <c r="H291" t="n">
        <v>0</v>
      </c>
      <c r="I291" t="n">
        <v>0</v>
      </c>
      <c r="J291" t="n">
        <v>0</v>
      </c>
      <c r="K291" t="n">
        <v>0</v>
      </c>
      <c r="L291" t="n">
        <v>0</v>
      </c>
      <c r="M291" t="n">
        <v>0</v>
      </c>
      <c r="N291" t="n">
        <v>0</v>
      </c>
      <c r="O291" t="n">
        <v>0</v>
      </c>
      <c r="P291" t="n">
        <v>0</v>
      </c>
      <c r="Q291" t="n">
        <v>0</v>
      </c>
      <c r="R291" s="2" t="inlineStr"/>
    </row>
    <row r="292" ht="15" customHeight="1">
      <c r="A292" t="inlineStr">
        <is>
          <t>A 3040-2022</t>
        </is>
      </c>
      <c r="B292" s="1" t="n">
        <v>44581</v>
      </c>
      <c r="C292" s="1" t="n">
        <v>45720</v>
      </c>
      <c r="D292" t="inlineStr">
        <is>
          <t>VÄSTERBOTTENS LÄN</t>
        </is>
      </c>
      <c r="E292" t="inlineStr">
        <is>
          <t>STORUMAN</t>
        </is>
      </c>
      <c r="G292" t="n">
        <v>14.2</v>
      </c>
      <c r="H292" t="n">
        <v>0</v>
      </c>
      <c r="I292" t="n">
        <v>0</v>
      </c>
      <c r="J292" t="n">
        <v>0</v>
      </c>
      <c r="K292" t="n">
        <v>0</v>
      </c>
      <c r="L292" t="n">
        <v>0</v>
      </c>
      <c r="M292" t="n">
        <v>0</v>
      </c>
      <c r="N292" t="n">
        <v>0</v>
      </c>
      <c r="O292" t="n">
        <v>0</v>
      </c>
      <c r="P292" t="n">
        <v>0</v>
      </c>
      <c r="Q292" t="n">
        <v>0</v>
      </c>
      <c r="R292" s="2" t="inlineStr"/>
    </row>
    <row r="293" ht="15" customHeight="1">
      <c r="A293" t="inlineStr">
        <is>
          <t>A 3354-2022</t>
        </is>
      </c>
      <c r="B293" s="1" t="n">
        <v>44585</v>
      </c>
      <c r="C293" s="1" t="n">
        <v>45720</v>
      </c>
      <c r="D293" t="inlineStr">
        <is>
          <t>VÄSTERBOTTENS LÄN</t>
        </is>
      </c>
      <c r="E293" t="inlineStr">
        <is>
          <t>STORUMAN</t>
        </is>
      </c>
      <c r="G293" t="n">
        <v>2.8</v>
      </c>
      <c r="H293" t="n">
        <v>0</v>
      </c>
      <c r="I293" t="n">
        <v>0</v>
      </c>
      <c r="J293" t="n">
        <v>0</v>
      </c>
      <c r="K293" t="n">
        <v>0</v>
      </c>
      <c r="L293" t="n">
        <v>0</v>
      </c>
      <c r="M293" t="n">
        <v>0</v>
      </c>
      <c r="N293" t="n">
        <v>0</v>
      </c>
      <c r="O293" t="n">
        <v>0</v>
      </c>
      <c r="P293" t="n">
        <v>0</v>
      </c>
      <c r="Q293" t="n">
        <v>0</v>
      </c>
      <c r="R293" s="2" t="inlineStr"/>
    </row>
    <row r="294" ht="15" customHeight="1">
      <c r="A294" t="inlineStr">
        <is>
          <t>A 3625-2022</t>
        </is>
      </c>
      <c r="B294" s="1" t="n">
        <v>44586</v>
      </c>
      <c r="C294" s="1" t="n">
        <v>45720</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4218-2022</t>
        </is>
      </c>
      <c r="B295" s="1" t="n">
        <v>44588</v>
      </c>
      <c r="C295" s="1" t="n">
        <v>45720</v>
      </c>
      <c r="D295" t="inlineStr">
        <is>
          <t>VÄSTERBOTTENS LÄN</t>
        </is>
      </c>
      <c r="E295" t="inlineStr">
        <is>
          <t>STORUMAN</t>
        </is>
      </c>
      <c r="G295" t="n">
        <v>18.6</v>
      </c>
      <c r="H295" t="n">
        <v>0</v>
      </c>
      <c r="I295" t="n">
        <v>0</v>
      </c>
      <c r="J295" t="n">
        <v>0</v>
      </c>
      <c r="K295" t="n">
        <v>0</v>
      </c>
      <c r="L295" t="n">
        <v>0</v>
      </c>
      <c r="M295" t="n">
        <v>0</v>
      </c>
      <c r="N295" t="n">
        <v>0</v>
      </c>
      <c r="O295" t="n">
        <v>0</v>
      </c>
      <c r="P295" t="n">
        <v>0</v>
      </c>
      <c r="Q295" t="n">
        <v>0</v>
      </c>
      <c r="R295" s="2" t="inlineStr"/>
    </row>
    <row r="296" ht="15" customHeight="1">
      <c r="A296" t="inlineStr">
        <is>
          <t>A 5185-2022</t>
        </is>
      </c>
      <c r="B296" s="1" t="n">
        <v>44594</v>
      </c>
      <c r="C296" s="1" t="n">
        <v>45720</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5500-2022</t>
        </is>
      </c>
      <c r="B297" s="1" t="n">
        <v>44595</v>
      </c>
      <c r="C297" s="1" t="n">
        <v>45720</v>
      </c>
      <c r="D297" t="inlineStr">
        <is>
          <t>VÄSTERBOTTENS LÄN</t>
        </is>
      </c>
      <c r="E297" t="inlineStr">
        <is>
          <t>STORUMAN</t>
        </is>
      </c>
      <c r="G297" t="n">
        <v>5.8</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45720</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45720</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10908-2022</t>
        </is>
      </c>
      <c r="B300" s="1" t="n">
        <v>44627</v>
      </c>
      <c r="C300" s="1" t="n">
        <v>45720</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12002-2022</t>
        </is>
      </c>
      <c r="B301" s="1" t="n">
        <v>44635</v>
      </c>
      <c r="C301" s="1" t="n">
        <v>45720</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12011-2022</t>
        </is>
      </c>
      <c r="B302" s="1" t="n">
        <v>44635</v>
      </c>
      <c r="C302" s="1" t="n">
        <v>45720</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13212-2022</t>
        </is>
      </c>
      <c r="B303" s="1" t="n">
        <v>44644</v>
      </c>
      <c r="C303" s="1" t="n">
        <v>45720</v>
      </c>
      <c r="D303" t="inlineStr">
        <is>
          <t>VÄSTERBOTTENS LÄN</t>
        </is>
      </c>
      <c r="E303" t="inlineStr">
        <is>
          <t>STORUMAN</t>
        </is>
      </c>
      <c r="G303" t="n">
        <v>8</v>
      </c>
      <c r="H303" t="n">
        <v>0</v>
      </c>
      <c r="I303" t="n">
        <v>0</v>
      </c>
      <c r="J303" t="n">
        <v>0</v>
      </c>
      <c r="K303" t="n">
        <v>0</v>
      </c>
      <c r="L303" t="n">
        <v>0</v>
      </c>
      <c r="M303" t="n">
        <v>0</v>
      </c>
      <c r="N303" t="n">
        <v>0</v>
      </c>
      <c r="O303" t="n">
        <v>0</v>
      </c>
      <c r="P303" t="n">
        <v>0</v>
      </c>
      <c r="Q303" t="n">
        <v>0</v>
      </c>
      <c r="R303" s="2" t="inlineStr"/>
    </row>
    <row r="304" ht="15" customHeight="1">
      <c r="A304" t="inlineStr">
        <is>
          <t>A 13708-2022</t>
        </is>
      </c>
      <c r="B304" s="1" t="n">
        <v>44649</v>
      </c>
      <c r="C304" s="1" t="n">
        <v>45720</v>
      </c>
      <c r="D304" t="inlineStr">
        <is>
          <t>VÄSTERBOTTENS LÄN</t>
        </is>
      </c>
      <c r="E304" t="inlineStr">
        <is>
          <t>STORUMAN</t>
        </is>
      </c>
      <c r="G304" t="n">
        <v>17.1</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45720</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14479-2022</t>
        </is>
      </c>
      <c r="B306" s="1" t="n">
        <v>44650</v>
      </c>
      <c r="C306" s="1" t="n">
        <v>45720</v>
      </c>
      <c r="D306" t="inlineStr">
        <is>
          <t>VÄSTERBOTTENS LÄN</t>
        </is>
      </c>
      <c r="E306" t="inlineStr">
        <is>
          <t>STORUMAN</t>
        </is>
      </c>
      <c r="F306" t="inlineStr">
        <is>
          <t>Övriga statliga verk och myndigheter</t>
        </is>
      </c>
      <c r="G306" t="n">
        <v>5.9</v>
      </c>
      <c r="H306" t="n">
        <v>0</v>
      </c>
      <c r="I306" t="n">
        <v>0</v>
      </c>
      <c r="J306" t="n">
        <v>0</v>
      </c>
      <c r="K306" t="n">
        <v>0</v>
      </c>
      <c r="L306" t="n">
        <v>0</v>
      </c>
      <c r="M306" t="n">
        <v>0</v>
      </c>
      <c r="N306" t="n">
        <v>0</v>
      </c>
      <c r="O306" t="n">
        <v>0</v>
      </c>
      <c r="P306" t="n">
        <v>0</v>
      </c>
      <c r="Q306" t="n">
        <v>0</v>
      </c>
      <c r="R306" s="2" t="inlineStr"/>
    </row>
    <row r="307" ht="15" customHeight="1">
      <c r="A307" t="inlineStr">
        <is>
          <t>A 14395-2022</t>
        </is>
      </c>
      <c r="B307" s="1" t="n">
        <v>44652</v>
      </c>
      <c r="C307" s="1" t="n">
        <v>45720</v>
      </c>
      <c r="D307" t="inlineStr">
        <is>
          <t>VÄSTERBOTTENS LÄN</t>
        </is>
      </c>
      <c r="E307" t="inlineStr">
        <is>
          <t>STORUMAN</t>
        </is>
      </c>
      <c r="G307" t="n">
        <v>0.4</v>
      </c>
      <c r="H307" t="n">
        <v>0</v>
      </c>
      <c r="I307" t="n">
        <v>0</v>
      </c>
      <c r="J307" t="n">
        <v>0</v>
      </c>
      <c r="K307" t="n">
        <v>0</v>
      </c>
      <c r="L307" t="n">
        <v>0</v>
      </c>
      <c r="M307" t="n">
        <v>0</v>
      </c>
      <c r="N307" t="n">
        <v>0</v>
      </c>
      <c r="O307" t="n">
        <v>0</v>
      </c>
      <c r="P307" t="n">
        <v>0</v>
      </c>
      <c r="Q307" t="n">
        <v>0</v>
      </c>
      <c r="R307" s="2" t="inlineStr"/>
    </row>
    <row r="308" ht="15" customHeight="1">
      <c r="A308" t="inlineStr">
        <is>
          <t>A 14690-2022</t>
        </is>
      </c>
      <c r="B308" s="1" t="n">
        <v>44655</v>
      </c>
      <c r="C308" s="1" t="n">
        <v>45720</v>
      </c>
      <c r="D308" t="inlineStr">
        <is>
          <t>VÄSTERBOTTENS LÄN</t>
        </is>
      </c>
      <c r="E308" t="inlineStr">
        <is>
          <t>STORUMAN</t>
        </is>
      </c>
      <c r="G308" t="n">
        <v>8.5</v>
      </c>
      <c r="H308" t="n">
        <v>0</v>
      </c>
      <c r="I308" t="n">
        <v>0</v>
      </c>
      <c r="J308" t="n">
        <v>0</v>
      </c>
      <c r="K308" t="n">
        <v>0</v>
      </c>
      <c r="L308" t="n">
        <v>0</v>
      </c>
      <c r="M308" t="n">
        <v>0</v>
      </c>
      <c r="N308" t="n">
        <v>0</v>
      </c>
      <c r="O308" t="n">
        <v>0</v>
      </c>
      <c r="P308" t="n">
        <v>0</v>
      </c>
      <c r="Q308" t="n">
        <v>0</v>
      </c>
      <c r="R308" s="2" t="inlineStr"/>
    </row>
    <row r="309" ht="15" customHeight="1">
      <c r="A309" t="inlineStr">
        <is>
          <t>A 14683-2022</t>
        </is>
      </c>
      <c r="B309" s="1" t="n">
        <v>44655</v>
      </c>
      <c r="C309" s="1" t="n">
        <v>45720</v>
      </c>
      <c r="D309" t="inlineStr">
        <is>
          <t>VÄSTERBOTTENS LÄN</t>
        </is>
      </c>
      <c r="E309" t="inlineStr">
        <is>
          <t>STORUMAN</t>
        </is>
      </c>
      <c r="G309" t="n">
        <v>3.8</v>
      </c>
      <c r="H309" t="n">
        <v>0</v>
      </c>
      <c r="I309" t="n">
        <v>0</v>
      </c>
      <c r="J309" t="n">
        <v>0</v>
      </c>
      <c r="K309" t="n">
        <v>0</v>
      </c>
      <c r="L309" t="n">
        <v>0</v>
      </c>
      <c r="M309" t="n">
        <v>0</v>
      </c>
      <c r="N309" t="n">
        <v>0</v>
      </c>
      <c r="O309" t="n">
        <v>0</v>
      </c>
      <c r="P309" t="n">
        <v>0</v>
      </c>
      <c r="Q309" t="n">
        <v>0</v>
      </c>
      <c r="R309" s="2" t="inlineStr"/>
    </row>
    <row r="310" ht="15" customHeight="1">
      <c r="A310" t="inlineStr">
        <is>
          <t>A 15416-2022</t>
        </is>
      </c>
      <c r="B310" s="1" t="n">
        <v>44659</v>
      </c>
      <c r="C310" s="1" t="n">
        <v>45720</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15680-2022</t>
        </is>
      </c>
      <c r="B311" s="1" t="n">
        <v>44663</v>
      </c>
      <c r="C311" s="1" t="n">
        <v>45720</v>
      </c>
      <c r="D311" t="inlineStr">
        <is>
          <t>VÄSTERBOTTENS LÄN</t>
        </is>
      </c>
      <c r="E311" t="inlineStr">
        <is>
          <t>STORUMAN</t>
        </is>
      </c>
      <c r="G311" t="n">
        <v>1.7</v>
      </c>
      <c r="H311" t="n">
        <v>0</v>
      </c>
      <c r="I311" t="n">
        <v>0</v>
      </c>
      <c r="J311" t="n">
        <v>0</v>
      </c>
      <c r="K311" t="n">
        <v>0</v>
      </c>
      <c r="L311" t="n">
        <v>0</v>
      </c>
      <c r="M311" t="n">
        <v>0</v>
      </c>
      <c r="N311" t="n">
        <v>0</v>
      </c>
      <c r="O311" t="n">
        <v>0</v>
      </c>
      <c r="P311" t="n">
        <v>0</v>
      </c>
      <c r="Q311" t="n">
        <v>0</v>
      </c>
      <c r="R311" s="2" t="inlineStr"/>
    </row>
    <row r="312" ht="15" customHeight="1">
      <c r="A312" t="inlineStr">
        <is>
          <t>A 16136-2022</t>
        </is>
      </c>
      <c r="B312" s="1" t="n">
        <v>44665</v>
      </c>
      <c r="C312" s="1" t="n">
        <v>45720</v>
      </c>
      <c r="D312" t="inlineStr">
        <is>
          <t>VÄSTERBOTTENS LÄN</t>
        </is>
      </c>
      <c r="E312" t="inlineStr">
        <is>
          <t>STORUMAN</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45720</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16782-2022</t>
        </is>
      </c>
      <c r="B314" s="1" t="n">
        <v>44673</v>
      </c>
      <c r="C314" s="1" t="n">
        <v>45720</v>
      </c>
      <c r="D314" t="inlineStr">
        <is>
          <t>VÄSTERBOTTENS LÄN</t>
        </is>
      </c>
      <c r="E314" t="inlineStr">
        <is>
          <t>STORUMAN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17150-2022</t>
        </is>
      </c>
      <c r="B315" s="1" t="n">
        <v>44677</v>
      </c>
      <c r="C315" s="1" t="n">
        <v>45720</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17149-2022</t>
        </is>
      </c>
      <c r="B316" s="1" t="n">
        <v>44677</v>
      </c>
      <c r="C316" s="1" t="n">
        <v>45720</v>
      </c>
      <c r="D316" t="inlineStr">
        <is>
          <t>VÄSTERBOTTENS LÄN</t>
        </is>
      </c>
      <c r="E316" t="inlineStr">
        <is>
          <t>STORUMAN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17471-2022</t>
        </is>
      </c>
      <c r="B317" s="1" t="n">
        <v>44679</v>
      </c>
      <c r="C317" s="1" t="n">
        <v>45720</v>
      </c>
      <c r="D317" t="inlineStr">
        <is>
          <t>VÄSTERBOTTENS LÄN</t>
        </is>
      </c>
      <c r="E317" t="inlineStr">
        <is>
          <t>STORUMAN</t>
        </is>
      </c>
      <c r="G317" t="n">
        <v>59.1</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45720</v>
      </c>
      <c r="D318" t="inlineStr">
        <is>
          <t>VÄSTERBOTTENS LÄN</t>
        </is>
      </c>
      <c r="E318" t="inlineStr">
        <is>
          <t>STORUMAN</t>
        </is>
      </c>
      <c r="G318" t="n">
        <v>18.9</v>
      </c>
      <c r="H318" t="n">
        <v>0</v>
      </c>
      <c r="I318" t="n">
        <v>0</v>
      </c>
      <c r="J318" t="n">
        <v>0</v>
      </c>
      <c r="K318" t="n">
        <v>0</v>
      </c>
      <c r="L318" t="n">
        <v>0</v>
      </c>
      <c r="M318" t="n">
        <v>0</v>
      </c>
      <c r="N318" t="n">
        <v>0</v>
      </c>
      <c r="O318" t="n">
        <v>0</v>
      </c>
      <c r="P318" t="n">
        <v>0</v>
      </c>
      <c r="Q318" t="n">
        <v>0</v>
      </c>
      <c r="R318" s="2" t="inlineStr"/>
    </row>
    <row r="319" ht="15" customHeight="1">
      <c r="A319" t="inlineStr">
        <is>
          <t>A 19463-2022</t>
        </is>
      </c>
      <c r="B319" s="1" t="n">
        <v>44693</v>
      </c>
      <c r="C319" s="1" t="n">
        <v>45720</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20194-2022</t>
        </is>
      </c>
      <c r="B320" s="1" t="n">
        <v>44698</v>
      </c>
      <c r="C320" s="1" t="n">
        <v>45720</v>
      </c>
      <c r="D320" t="inlineStr">
        <is>
          <t>VÄSTERBOTTENS LÄN</t>
        </is>
      </c>
      <c r="E320" t="inlineStr">
        <is>
          <t>STORUMAN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20844-2022</t>
        </is>
      </c>
      <c r="B321" s="1" t="n">
        <v>44701</v>
      </c>
      <c r="C321" s="1" t="n">
        <v>45720</v>
      </c>
      <c r="D321" t="inlineStr">
        <is>
          <t>VÄSTERBOTTENS LÄN</t>
        </is>
      </c>
      <c r="E321" t="inlineStr">
        <is>
          <t>STORUMAN</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22319-2022</t>
        </is>
      </c>
      <c r="B322" s="1" t="n">
        <v>44713</v>
      </c>
      <c r="C322" s="1" t="n">
        <v>45720</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23188-2022</t>
        </is>
      </c>
      <c r="B323" s="1" t="n">
        <v>44720</v>
      </c>
      <c r="C323" s="1" t="n">
        <v>45720</v>
      </c>
      <c r="D323" t="inlineStr">
        <is>
          <t>VÄSTERBOTTENS LÄN</t>
        </is>
      </c>
      <c r="E323" t="inlineStr">
        <is>
          <t>STORUMAN</t>
        </is>
      </c>
      <c r="F323" t="inlineStr">
        <is>
          <t>Sveaskog</t>
        </is>
      </c>
      <c r="G323" t="n">
        <v>12.7</v>
      </c>
      <c r="H323" t="n">
        <v>0</v>
      </c>
      <c r="I323" t="n">
        <v>0</v>
      </c>
      <c r="J323" t="n">
        <v>0</v>
      </c>
      <c r="K323" t="n">
        <v>0</v>
      </c>
      <c r="L323" t="n">
        <v>0</v>
      </c>
      <c r="M323" t="n">
        <v>0</v>
      </c>
      <c r="N323" t="n">
        <v>0</v>
      </c>
      <c r="O323" t="n">
        <v>0</v>
      </c>
      <c r="P323" t="n">
        <v>0</v>
      </c>
      <c r="Q323" t="n">
        <v>0</v>
      </c>
      <c r="R323" s="2" t="inlineStr"/>
    </row>
    <row r="324" ht="15" customHeight="1">
      <c r="A324" t="inlineStr">
        <is>
          <t>A 24541-2022</t>
        </is>
      </c>
      <c r="B324" s="1" t="n">
        <v>44727</v>
      </c>
      <c r="C324" s="1" t="n">
        <v>45720</v>
      </c>
      <c r="D324" t="inlineStr">
        <is>
          <t>VÄSTERBOTTENS LÄN</t>
        </is>
      </c>
      <c r="E324" t="inlineStr">
        <is>
          <t>STORUMAN</t>
        </is>
      </c>
      <c r="F324" t="inlineStr">
        <is>
          <t>Kommuner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25397-2022</t>
        </is>
      </c>
      <c r="B325" s="1" t="n">
        <v>44732</v>
      </c>
      <c r="C325" s="1" t="n">
        <v>45720</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25950-2022</t>
        </is>
      </c>
      <c r="B326" s="1" t="n">
        <v>44734</v>
      </c>
      <c r="C326" s="1" t="n">
        <v>45720</v>
      </c>
      <c r="D326" t="inlineStr">
        <is>
          <t>VÄSTERBOTTENS LÄN</t>
        </is>
      </c>
      <c r="E326" t="inlineStr">
        <is>
          <t>STORUMAN</t>
        </is>
      </c>
      <c r="F326" t="inlineStr">
        <is>
          <t>Sveaskog</t>
        </is>
      </c>
      <c r="G326" t="n">
        <v>30.3</v>
      </c>
      <c r="H326" t="n">
        <v>0</v>
      </c>
      <c r="I326" t="n">
        <v>0</v>
      </c>
      <c r="J326" t="n">
        <v>0</v>
      </c>
      <c r="K326" t="n">
        <v>0</v>
      </c>
      <c r="L326" t="n">
        <v>0</v>
      </c>
      <c r="M326" t="n">
        <v>0</v>
      </c>
      <c r="N326" t="n">
        <v>0</v>
      </c>
      <c r="O326" t="n">
        <v>0</v>
      </c>
      <c r="P326" t="n">
        <v>0</v>
      </c>
      <c r="Q326" t="n">
        <v>0</v>
      </c>
      <c r="R326" s="2" t="inlineStr"/>
    </row>
    <row r="327" ht="15" customHeight="1">
      <c r="A327" t="inlineStr">
        <is>
          <t>A 28001-2022</t>
        </is>
      </c>
      <c r="B327" s="1" t="n">
        <v>44743</v>
      </c>
      <c r="C327" s="1" t="n">
        <v>45720</v>
      </c>
      <c r="D327" t="inlineStr">
        <is>
          <t>VÄSTERBOTTENS LÄN</t>
        </is>
      </c>
      <c r="E327" t="inlineStr">
        <is>
          <t>STORUMAN</t>
        </is>
      </c>
      <c r="G327" t="n">
        <v>2.3</v>
      </c>
      <c r="H327" t="n">
        <v>0</v>
      </c>
      <c r="I327" t="n">
        <v>0</v>
      </c>
      <c r="J327" t="n">
        <v>0</v>
      </c>
      <c r="K327" t="n">
        <v>0</v>
      </c>
      <c r="L327" t="n">
        <v>0</v>
      </c>
      <c r="M327" t="n">
        <v>0</v>
      </c>
      <c r="N327" t="n">
        <v>0</v>
      </c>
      <c r="O327" t="n">
        <v>0</v>
      </c>
      <c r="P327" t="n">
        <v>0</v>
      </c>
      <c r="Q327" t="n">
        <v>0</v>
      </c>
      <c r="R327" s="2" t="inlineStr"/>
    </row>
    <row r="328" ht="15" customHeight="1">
      <c r="A328" t="inlineStr">
        <is>
          <t>A 28061-2022</t>
        </is>
      </c>
      <c r="B328" s="1" t="n">
        <v>44746</v>
      </c>
      <c r="C328" s="1" t="n">
        <v>45720</v>
      </c>
      <c r="D328" t="inlineStr">
        <is>
          <t>VÄSTERBOTTENS LÄN</t>
        </is>
      </c>
      <c r="E328" t="inlineStr">
        <is>
          <t>STORUMAN</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28713-2022</t>
        </is>
      </c>
      <c r="B329" s="1" t="n">
        <v>44748</v>
      </c>
      <c r="C329" s="1" t="n">
        <v>45720</v>
      </c>
      <c r="D329" t="inlineStr">
        <is>
          <t>VÄSTERBOTTENS LÄN</t>
        </is>
      </c>
      <c r="E329" t="inlineStr">
        <is>
          <t>STORUMAN</t>
        </is>
      </c>
      <c r="G329" t="n">
        <v>14.9</v>
      </c>
      <c r="H329" t="n">
        <v>0</v>
      </c>
      <c r="I329" t="n">
        <v>0</v>
      </c>
      <c r="J329" t="n">
        <v>0</v>
      </c>
      <c r="K329" t="n">
        <v>0</v>
      </c>
      <c r="L329" t="n">
        <v>0</v>
      </c>
      <c r="M329" t="n">
        <v>0</v>
      </c>
      <c r="N329" t="n">
        <v>0</v>
      </c>
      <c r="O329" t="n">
        <v>0</v>
      </c>
      <c r="P329" t="n">
        <v>0</v>
      </c>
      <c r="Q329" t="n">
        <v>0</v>
      </c>
      <c r="R329" s="2" t="inlineStr"/>
    </row>
    <row r="330" ht="15" customHeight="1">
      <c r="A330" t="inlineStr">
        <is>
          <t>A 28710-2022</t>
        </is>
      </c>
      <c r="B330" s="1" t="n">
        <v>44749</v>
      </c>
      <c r="C330" s="1" t="n">
        <v>45720</v>
      </c>
      <c r="D330" t="inlineStr">
        <is>
          <t>VÄSTERBOTTENS LÄN</t>
        </is>
      </c>
      <c r="E330" t="inlineStr">
        <is>
          <t>STORUMAN</t>
        </is>
      </c>
      <c r="G330" t="n">
        <v>5.2</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v>
      </c>
      <c r="C331" s="1" t="n">
        <v>45720</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31702-2022</t>
        </is>
      </c>
      <c r="B332" s="1" t="n">
        <v>44776</v>
      </c>
      <c r="C332" s="1" t="n">
        <v>45720</v>
      </c>
      <c r="D332" t="inlineStr">
        <is>
          <t>VÄSTERBOTTENS LÄN</t>
        </is>
      </c>
      <c r="E332" t="inlineStr">
        <is>
          <t>STORUMAN</t>
        </is>
      </c>
      <c r="F332" t="inlineStr">
        <is>
          <t>Naturvårdsverket</t>
        </is>
      </c>
      <c r="G332" t="n">
        <v>22.8</v>
      </c>
      <c r="H332" t="n">
        <v>0</v>
      </c>
      <c r="I332" t="n">
        <v>0</v>
      </c>
      <c r="J332" t="n">
        <v>0</v>
      </c>
      <c r="K332" t="n">
        <v>0</v>
      </c>
      <c r="L332" t="n">
        <v>0</v>
      </c>
      <c r="M332" t="n">
        <v>0</v>
      </c>
      <c r="N332" t="n">
        <v>0</v>
      </c>
      <c r="O332" t="n">
        <v>0</v>
      </c>
      <c r="P332" t="n">
        <v>0</v>
      </c>
      <c r="Q332" t="n">
        <v>0</v>
      </c>
      <c r="R332" s="2" t="inlineStr"/>
    </row>
    <row r="333" ht="15" customHeight="1">
      <c r="A333" t="inlineStr">
        <is>
          <t>A 32459-2022</t>
        </is>
      </c>
      <c r="B333" s="1" t="n">
        <v>44782</v>
      </c>
      <c r="C333" s="1" t="n">
        <v>45720</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33342-2022</t>
        </is>
      </c>
      <c r="B334" s="1" t="n">
        <v>44788</v>
      </c>
      <c r="C334" s="1" t="n">
        <v>45720</v>
      </c>
      <c r="D334" t="inlineStr">
        <is>
          <t>VÄSTERBOTTENS LÄN</t>
        </is>
      </c>
      <c r="E334" t="inlineStr">
        <is>
          <t>STORUMAN</t>
        </is>
      </c>
      <c r="G334" t="n">
        <v>14.5</v>
      </c>
      <c r="H334" t="n">
        <v>0</v>
      </c>
      <c r="I334" t="n">
        <v>0</v>
      </c>
      <c r="J334" t="n">
        <v>0</v>
      </c>
      <c r="K334" t="n">
        <v>0</v>
      </c>
      <c r="L334" t="n">
        <v>0</v>
      </c>
      <c r="M334" t="n">
        <v>0</v>
      </c>
      <c r="N334" t="n">
        <v>0</v>
      </c>
      <c r="O334" t="n">
        <v>0</v>
      </c>
      <c r="P334" t="n">
        <v>0</v>
      </c>
      <c r="Q334" t="n">
        <v>0</v>
      </c>
      <c r="R334" s="2" t="inlineStr"/>
    </row>
    <row r="335" ht="15" customHeight="1">
      <c r="A335" t="inlineStr">
        <is>
          <t>A 34954-2022</t>
        </is>
      </c>
      <c r="B335" s="1" t="n">
        <v>44796</v>
      </c>
      <c r="C335" s="1" t="n">
        <v>45720</v>
      </c>
      <c r="D335" t="inlineStr">
        <is>
          <t>VÄSTERBOTTENS LÄN</t>
        </is>
      </c>
      <c r="E335" t="inlineStr">
        <is>
          <t>STORUMAN</t>
        </is>
      </c>
      <c r="F335" t="inlineStr">
        <is>
          <t>Sveaskog</t>
        </is>
      </c>
      <c r="G335" t="n">
        <v>16.1</v>
      </c>
      <c r="H335" t="n">
        <v>0</v>
      </c>
      <c r="I335" t="n">
        <v>0</v>
      </c>
      <c r="J335" t="n">
        <v>0</v>
      </c>
      <c r="K335" t="n">
        <v>0</v>
      </c>
      <c r="L335" t="n">
        <v>0</v>
      </c>
      <c r="M335" t="n">
        <v>0</v>
      </c>
      <c r="N335" t="n">
        <v>0</v>
      </c>
      <c r="O335" t="n">
        <v>0</v>
      </c>
      <c r="P335" t="n">
        <v>0</v>
      </c>
      <c r="Q335" t="n">
        <v>0</v>
      </c>
      <c r="R335" s="2" t="inlineStr"/>
    </row>
    <row r="336" ht="15" customHeight="1">
      <c r="A336" t="inlineStr">
        <is>
          <t>A 36691-2022</t>
        </is>
      </c>
      <c r="B336" s="1" t="n">
        <v>44805</v>
      </c>
      <c r="C336" s="1" t="n">
        <v>45720</v>
      </c>
      <c r="D336" t="inlineStr">
        <is>
          <t>VÄSTERBOTTENS LÄN</t>
        </is>
      </c>
      <c r="E336" t="inlineStr">
        <is>
          <t>STORUMAN</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45720</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39285-2022</t>
        </is>
      </c>
      <c r="B338" s="1" t="n">
        <v>44817</v>
      </c>
      <c r="C338" s="1" t="n">
        <v>45720</v>
      </c>
      <c r="D338" t="inlineStr">
        <is>
          <t>VÄSTERBOTTENS LÄN</t>
        </is>
      </c>
      <c r="E338" t="inlineStr">
        <is>
          <t>STORUMAN</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39260-2022</t>
        </is>
      </c>
      <c r="B339" s="1" t="n">
        <v>44817</v>
      </c>
      <c r="C339" s="1" t="n">
        <v>45720</v>
      </c>
      <c r="D339" t="inlineStr">
        <is>
          <t>VÄSTERBOTTENS LÄN</t>
        </is>
      </c>
      <c r="E339" t="inlineStr">
        <is>
          <t>STORUMAN</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39284-2022</t>
        </is>
      </c>
      <c r="B340" s="1" t="n">
        <v>44817</v>
      </c>
      <c r="C340" s="1" t="n">
        <v>45720</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39275-2022</t>
        </is>
      </c>
      <c r="B341" s="1" t="n">
        <v>44817</v>
      </c>
      <c r="C341" s="1" t="n">
        <v>45720</v>
      </c>
      <c r="D341" t="inlineStr">
        <is>
          <t>VÄSTERBOTTENS LÄN</t>
        </is>
      </c>
      <c r="E341" t="inlineStr">
        <is>
          <t>STORUMAN</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43655-2022</t>
        </is>
      </c>
      <c r="B342" s="1" t="n">
        <v>44837</v>
      </c>
      <c r="C342" s="1" t="n">
        <v>45720</v>
      </c>
      <c r="D342" t="inlineStr">
        <is>
          <t>VÄSTERBOTTENS LÄN</t>
        </is>
      </c>
      <c r="E342" t="inlineStr">
        <is>
          <t>STORUMAN</t>
        </is>
      </c>
      <c r="F342" t="inlineStr">
        <is>
          <t>Sveaskog</t>
        </is>
      </c>
      <c r="G342" t="n">
        <v>28.6</v>
      </c>
      <c r="H342" t="n">
        <v>0</v>
      </c>
      <c r="I342" t="n">
        <v>0</v>
      </c>
      <c r="J342" t="n">
        <v>0</v>
      </c>
      <c r="K342" t="n">
        <v>0</v>
      </c>
      <c r="L342" t="n">
        <v>0</v>
      </c>
      <c r="M342" t="n">
        <v>0</v>
      </c>
      <c r="N342" t="n">
        <v>0</v>
      </c>
      <c r="O342" t="n">
        <v>0</v>
      </c>
      <c r="P342" t="n">
        <v>0</v>
      </c>
      <c r="Q342" t="n">
        <v>0</v>
      </c>
      <c r="R342" s="2" t="inlineStr"/>
    </row>
    <row r="343" ht="15" customHeight="1">
      <c r="A343" t="inlineStr">
        <is>
          <t>A 43658-2022</t>
        </is>
      </c>
      <c r="B343" s="1" t="n">
        <v>44837</v>
      </c>
      <c r="C343" s="1" t="n">
        <v>45720</v>
      </c>
      <c r="D343" t="inlineStr">
        <is>
          <t>VÄSTERBOTTENS LÄN</t>
        </is>
      </c>
      <c r="E343" t="inlineStr">
        <is>
          <t>STORUMAN</t>
        </is>
      </c>
      <c r="F343" t="inlineStr">
        <is>
          <t>Sveaskog</t>
        </is>
      </c>
      <c r="G343" t="n">
        <v>41.6</v>
      </c>
      <c r="H343" t="n">
        <v>0</v>
      </c>
      <c r="I343" t="n">
        <v>0</v>
      </c>
      <c r="J343" t="n">
        <v>0</v>
      </c>
      <c r="K343" t="n">
        <v>0</v>
      </c>
      <c r="L343" t="n">
        <v>0</v>
      </c>
      <c r="M343" t="n">
        <v>0</v>
      </c>
      <c r="N343" t="n">
        <v>0</v>
      </c>
      <c r="O343" t="n">
        <v>0</v>
      </c>
      <c r="P343" t="n">
        <v>0</v>
      </c>
      <c r="Q343" t="n">
        <v>0</v>
      </c>
      <c r="R343" s="2" t="inlineStr"/>
    </row>
    <row r="344" ht="15" customHeight="1">
      <c r="A344" t="inlineStr">
        <is>
          <t>A 43771-2022</t>
        </is>
      </c>
      <c r="B344" s="1" t="n">
        <v>44838</v>
      </c>
      <c r="C344" s="1" t="n">
        <v>45720</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46072-2022</t>
        </is>
      </c>
      <c r="B345" s="1" t="n">
        <v>44844</v>
      </c>
      <c r="C345" s="1" t="n">
        <v>45720</v>
      </c>
      <c r="D345" t="inlineStr">
        <is>
          <t>VÄSTERBOTTENS LÄN</t>
        </is>
      </c>
      <c r="E345" t="inlineStr">
        <is>
          <t>STORUMAN</t>
        </is>
      </c>
      <c r="G345" t="n">
        <v>8.4</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45720</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45720</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45754-2022</t>
        </is>
      </c>
      <c r="B348" s="1" t="n">
        <v>44846</v>
      </c>
      <c r="C348" s="1" t="n">
        <v>45720</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45756-2022</t>
        </is>
      </c>
      <c r="B349" s="1" t="n">
        <v>44846</v>
      </c>
      <c r="C349" s="1" t="n">
        <v>45720</v>
      </c>
      <c r="D349" t="inlineStr">
        <is>
          <t>VÄSTERBOTTENS LÄN</t>
        </is>
      </c>
      <c r="E349" t="inlineStr">
        <is>
          <t>STORUMAN</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45761-2022</t>
        </is>
      </c>
      <c r="B350" s="1" t="n">
        <v>44846</v>
      </c>
      <c r="C350" s="1" t="n">
        <v>45720</v>
      </c>
      <c r="D350" t="inlineStr">
        <is>
          <t>VÄSTERBOTTENS LÄN</t>
        </is>
      </c>
      <c r="E350" t="inlineStr">
        <is>
          <t>STORUMAN</t>
        </is>
      </c>
      <c r="F350" t="inlineStr">
        <is>
          <t>Sveaskog</t>
        </is>
      </c>
      <c r="G350" t="n">
        <v>12.5</v>
      </c>
      <c r="H350" t="n">
        <v>0</v>
      </c>
      <c r="I350" t="n">
        <v>0</v>
      </c>
      <c r="J350" t="n">
        <v>0</v>
      </c>
      <c r="K350" t="n">
        <v>0</v>
      </c>
      <c r="L350" t="n">
        <v>0</v>
      </c>
      <c r="M350" t="n">
        <v>0</v>
      </c>
      <c r="N350" t="n">
        <v>0</v>
      </c>
      <c r="O350" t="n">
        <v>0</v>
      </c>
      <c r="P350" t="n">
        <v>0</v>
      </c>
      <c r="Q350" t="n">
        <v>0</v>
      </c>
      <c r="R350" s="2" t="inlineStr"/>
    </row>
    <row r="351" ht="15" customHeight="1">
      <c r="A351" t="inlineStr">
        <is>
          <t>A 46590-2022</t>
        </is>
      </c>
      <c r="B351" s="1" t="n">
        <v>44847</v>
      </c>
      <c r="C351" s="1" t="n">
        <v>45720</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46586-2022</t>
        </is>
      </c>
      <c r="B352" s="1" t="n">
        <v>44847</v>
      </c>
      <c r="C352" s="1" t="n">
        <v>45720</v>
      </c>
      <c r="D352" t="inlineStr">
        <is>
          <t>VÄSTERBOTTENS LÄN</t>
        </is>
      </c>
      <c r="E352" t="inlineStr">
        <is>
          <t>STORUMAN</t>
        </is>
      </c>
      <c r="G352" t="n">
        <v>6.1</v>
      </c>
      <c r="H352" t="n">
        <v>0</v>
      </c>
      <c r="I352" t="n">
        <v>0</v>
      </c>
      <c r="J352" t="n">
        <v>0</v>
      </c>
      <c r="K352" t="n">
        <v>0</v>
      </c>
      <c r="L352" t="n">
        <v>0</v>
      </c>
      <c r="M352" t="n">
        <v>0</v>
      </c>
      <c r="N352" t="n">
        <v>0</v>
      </c>
      <c r="O352" t="n">
        <v>0</v>
      </c>
      <c r="P352" t="n">
        <v>0</v>
      </c>
      <c r="Q352" t="n">
        <v>0</v>
      </c>
      <c r="R352" s="2" t="inlineStr"/>
    </row>
    <row r="353" ht="15" customHeight="1">
      <c r="A353" t="inlineStr">
        <is>
          <t>A 46584-2022</t>
        </is>
      </c>
      <c r="B353" s="1" t="n">
        <v>44847</v>
      </c>
      <c r="C353" s="1" t="n">
        <v>45720</v>
      </c>
      <c r="D353" t="inlineStr">
        <is>
          <t>VÄSTERBOTTENS LÄN</t>
        </is>
      </c>
      <c r="E353" t="inlineStr">
        <is>
          <t>STORUMAN</t>
        </is>
      </c>
      <c r="G353" t="n">
        <v>9.6</v>
      </c>
      <c r="H353" t="n">
        <v>0</v>
      </c>
      <c r="I353" t="n">
        <v>0</v>
      </c>
      <c r="J353" t="n">
        <v>0</v>
      </c>
      <c r="K353" t="n">
        <v>0</v>
      </c>
      <c r="L353" t="n">
        <v>0</v>
      </c>
      <c r="M353" t="n">
        <v>0</v>
      </c>
      <c r="N353" t="n">
        <v>0</v>
      </c>
      <c r="O353" t="n">
        <v>0</v>
      </c>
      <c r="P353" t="n">
        <v>0</v>
      </c>
      <c r="Q353" t="n">
        <v>0</v>
      </c>
      <c r="R353" s="2" t="inlineStr"/>
    </row>
    <row r="354" ht="15" customHeight="1">
      <c r="A354" t="inlineStr">
        <is>
          <t>A 46842-2022</t>
        </is>
      </c>
      <c r="B354" s="1" t="n">
        <v>44851</v>
      </c>
      <c r="C354" s="1" t="n">
        <v>45720</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46844-2022</t>
        </is>
      </c>
      <c r="B355" s="1" t="n">
        <v>44851</v>
      </c>
      <c r="C355" s="1" t="n">
        <v>45720</v>
      </c>
      <c r="D355" t="inlineStr">
        <is>
          <t>VÄSTERBOTTENS LÄN</t>
        </is>
      </c>
      <c r="E355" t="inlineStr">
        <is>
          <t>STORUMAN</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48358-2022</t>
        </is>
      </c>
      <c r="B356" s="1" t="n">
        <v>44858</v>
      </c>
      <c r="C356" s="1" t="n">
        <v>45720</v>
      </c>
      <c r="D356" t="inlineStr">
        <is>
          <t>VÄSTERBOTTENS LÄN</t>
        </is>
      </c>
      <c r="E356" t="inlineStr">
        <is>
          <t>STORUMAN</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49084-2022</t>
        </is>
      </c>
      <c r="B357" s="1" t="n">
        <v>44860</v>
      </c>
      <c r="C357" s="1" t="n">
        <v>45720</v>
      </c>
      <c r="D357" t="inlineStr">
        <is>
          <t>VÄSTERBOTTENS LÄN</t>
        </is>
      </c>
      <c r="E357" t="inlineStr">
        <is>
          <t>STORUMAN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49081-2022</t>
        </is>
      </c>
      <c r="B358" s="1" t="n">
        <v>44860</v>
      </c>
      <c r="C358" s="1" t="n">
        <v>45720</v>
      </c>
      <c r="D358" t="inlineStr">
        <is>
          <t>VÄSTERBOTTENS LÄN</t>
        </is>
      </c>
      <c r="E358" t="inlineStr">
        <is>
          <t>STORUMAN</t>
        </is>
      </c>
      <c r="F358" t="inlineStr">
        <is>
          <t>Sveaskog</t>
        </is>
      </c>
      <c r="G358" t="n">
        <v>19.8</v>
      </c>
      <c r="H358" t="n">
        <v>0</v>
      </c>
      <c r="I358" t="n">
        <v>0</v>
      </c>
      <c r="J358" t="n">
        <v>0</v>
      </c>
      <c r="K358" t="n">
        <v>0</v>
      </c>
      <c r="L358" t="n">
        <v>0</v>
      </c>
      <c r="M358" t="n">
        <v>0</v>
      </c>
      <c r="N358" t="n">
        <v>0</v>
      </c>
      <c r="O358" t="n">
        <v>0</v>
      </c>
      <c r="P358" t="n">
        <v>0</v>
      </c>
      <c r="Q358" t="n">
        <v>0</v>
      </c>
      <c r="R358" s="2" t="inlineStr"/>
    </row>
    <row r="359" ht="15" customHeight="1">
      <c r="A359" t="inlineStr">
        <is>
          <t>A 50913-2022</t>
        </is>
      </c>
      <c r="B359" s="1" t="n">
        <v>44867</v>
      </c>
      <c r="C359" s="1" t="n">
        <v>45720</v>
      </c>
      <c r="D359" t="inlineStr">
        <is>
          <t>VÄSTERBOTTENS LÄN</t>
        </is>
      </c>
      <c r="E359" t="inlineStr">
        <is>
          <t>STORUMAN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45720</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45720</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52403-2022</t>
        </is>
      </c>
      <c r="B362" s="1" t="n">
        <v>44869</v>
      </c>
      <c r="C362" s="1" t="n">
        <v>45720</v>
      </c>
      <c r="D362" t="inlineStr">
        <is>
          <t>VÄSTERBOTTENS LÄN</t>
        </is>
      </c>
      <c r="E362" t="inlineStr">
        <is>
          <t>STORUMAN</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54270-2022</t>
        </is>
      </c>
      <c r="B363" s="1" t="n">
        <v>44882</v>
      </c>
      <c r="C363" s="1" t="n">
        <v>45720</v>
      </c>
      <c r="D363" t="inlineStr">
        <is>
          <t>VÄSTERBOTTENS LÄN</t>
        </is>
      </c>
      <c r="E363" t="inlineStr">
        <is>
          <t>STORUMAN</t>
        </is>
      </c>
      <c r="F363" t="inlineStr">
        <is>
          <t>Holmen skog AB</t>
        </is>
      </c>
      <c r="G363" t="n">
        <v>11.2</v>
      </c>
      <c r="H363" t="n">
        <v>0</v>
      </c>
      <c r="I363" t="n">
        <v>0</v>
      </c>
      <c r="J363" t="n">
        <v>0</v>
      </c>
      <c r="K363" t="n">
        <v>0</v>
      </c>
      <c r="L363" t="n">
        <v>0</v>
      </c>
      <c r="M363" t="n">
        <v>0</v>
      </c>
      <c r="N363" t="n">
        <v>0</v>
      </c>
      <c r="O363" t="n">
        <v>0</v>
      </c>
      <c r="P363" t="n">
        <v>0</v>
      </c>
      <c r="Q363" t="n">
        <v>0</v>
      </c>
      <c r="R363" s="2" t="inlineStr"/>
    </row>
    <row r="364" ht="15" customHeight="1">
      <c r="A364" t="inlineStr">
        <is>
          <t>A 55156-2022</t>
        </is>
      </c>
      <c r="B364" s="1" t="n">
        <v>44886</v>
      </c>
      <c r="C364" s="1" t="n">
        <v>45720</v>
      </c>
      <c r="D364" t="inlineStr">
        <is>
          <t>VÄSTERBOTTENS LÄN</t>
        </is>
      </c>
      <c r="E364" t="inlineStr">
        <is>
          <t>STORUMAN</t>
        </is>
      </c>
      <c r="G364" t="n">
        <v>3.5</v>
      </c>
      <c r="H364" t="n">
        <v>0</v>
      </c>
      <c r="I364" t="n">
        <v>0</v>
      </c>
      <c r="J364" t="n">
        <v>0</v>
      </c>
      <c r="K364" t="n">
        <v>0</v>
      </c>
      <c r="L364" t="n">
        <v>0</v>
      </c>
      <c r="M364" t="n">
        <v>0</v>
      </c>
      <c r="N364" t="n">
        <v>0</v>
      </c>
      <c r="O364" t="n">
        <v>0</v>
      </c>
      <c r="P364" t="n">
        <v>0</v>
      </c>
      <c r="Q364" t="n">
        <v>0</v>
      </c>
      <c r="R364" s="2" t="inlineStr"/>
    </row>
    <row r="365" ht="15" customHeight="1">
      <c r="A365" t="inlineStr">
        <is>
          <t>A 57139-2022</t>
        </is>
      </c>
      <c r="B365" s="1" t="n">
        <v>44889</v>
      </c>
      <c r="C365" s="1" t="n">
        <v>45720</v>
      </c>
      <c r="D365" t="inlineStr">
        <is>
          <t>VÄSTERBOTTENS LÄN</t>
        </is>
      </c>
      <c r="E365" t="inlineStr">
        <is>
          <t>STORUMAN</t>
        </is>
      </c>
      <c r="G365" t="n">
        <v>7.3</v>
      </c>
      <c r="H365" t="n">
        <v>0</v>
      </c>
      <c r="I365" t="n">
        <v>0</v>
      </c>
      <c r="J365" t="n">
        <v>0</v>
      </c>
      <c r="K365" t="n">
        <v>0</v>
      </c>
      <c r="L365" t="n">
        <v>0</v>
      </c>
      <c r="M365" t="n">
        <v>0</v>
      </c>
      <c r="N365" t="n">
        <v>0</v>
      </c>
      <c r="O365" t="n">
        <v>0</v>
      </c>
      <c r="P365" t="n">
        <v>0</v>
      </c>
      <c r="Q365" t="n">
        <v>0</v>
      </c>
      <c r="R365" s="2" t="inlineStr"/>
    </row>
    <row r="366" ht="15" customHeight="1">
      <c r="A366" t="inlineStr">
        <is>
          <t>A 57341-2022</t>
        </is>
      </c>
      <c r="B366" s="1" t="n">
        <v>44889</v>
      </c>
      <c r="C366" s="1" t="n">
        <v>45720</v>
      </c>
      <c r="D366" t="inlineStr">
        <is>
          <t>VÄSTERBOTTENS LÄN</t>
        </is>
      </c>
      <c r="E366" t="inlineStr">
        <is>
          <t>STORUMAN</t>
        </is>
      </c>
      <c r="G366" t="n">
        <v>1.6</v>
      </c>
      <c r="H366" t="n">
        <v>0</v>
      </c>
      <c r="I366" t="n">
        <v>0</v>
      </c>
      <c r="J366" t="n">
        <v>0</v>
      </c>
      <c r="K366" t="n">
        <v>0</v>
      </c>
      <c r="L366" t="n">
        <v>0</v>
      </c>
      <c r="M366" t="n">
        <v>0</v>
      </c>
      <c r="N366" t="n">
        <v>0</v>
      </c>
      <c r="O366" t="n">
        <v>0</v>
      </c>
      <c r="P366" t="n">
        <v>0</v>
      </c>
      <c r="Q366" t="n">
        <v>0</v>
      </c>
      <c r="R366" s="2" t="inlineStr"/>
    </row>
    <row r="367" ht="15" customHeight="1">
      <c r="A367" t="inlineStr">
        <is>
          <t>A 57340-2022</t>
        </is>
      </c>
      <c r="B367" s="1" t="n">
        <v>44889</v>
      </c>
      <c r="C367" s="1" t="n">
        <v>45720</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59249-2022</t>
        </is>
      </c>
      <c r="B368" s="1" t="n">
        <v>44904</v>
      </c>
      <c r="C368" s="1" t="n">
        <v>45720</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v>
      </c>
      <c r="C369" s="1" t="n">
        <v>45720</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v>
      </c>
      <c r="C370" s="1" t="n">
        <v>45720</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59572-2022</t>
        </is>
      </c>
      <c r="B371" s="1" t="n">
        <v>44907</v>
      </c>
      <c r="C371" s="1" t="n">
        <v>45720</v>
      </c>
      <c r="D371" t="inlineStr">
        <is>
          <t>VÄSTERBOTTENS LÄN</t>
        </is>
      </c>
      <c r="E371" t="inlineStr">
        <is>
          <t>STORUMAN</t>
        </is>
      </c>
      <c r="F371" t="inlineStr">
        <is>
          <t>Sveaskog</t>
        </is>
      </c>
      <c r="G371" t="n">
        <v>10.1</v>
      </c>
      <c r="H371" t="n">
        <v>0</v>
      </c>
      <c r="I371" t="n">
        <v>0</v>
      </c>
      <c r="J371" t="n">
        <v>0</v>
      </c>
      <c r="K371" t="n">
        <v>0</v>
      </c>
      <c r="L371" t="n">
        <v>0</v>
      </c>
      <c r="M371" t="n">
        <v>0</v>
      </c>
      <c r="N371" t="n">
        <v>0</v>
      </c>
      <c r="O371" t="n">
        <v>0</v>
      </c>
      <c r="P371" t="n">
        <v>0</v>
      </c>
      <c r="Q371" t="n">
        <v>0</v>
      </c>
      <c r="R371" s="2" t="inlineStr"/>
    </row>
    <row r="372" ht="15" customHeight="1">
      <c r="A372" t="inlineStr">
        <is>
          <t>A 60093-2022</t>
        </is>
      </c>
      <c r="B372" s="1" t="n">
        <v>44909</v>
      </c>
      <c r="C372" s="1" t="n">
        <v>45720</v>
      </c>
      <c r="D372" t="inlineStr">
        <is>
          <t>VÄSTERBOTTENS LÄN</t>
        </is>
      </c>
      <c r="E372" t="inlineStr">
        <is>
          <t>STORUMAN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61737-2022</t>
        </is>
      </c>
      <c r="B373" s="1" t="n">
        <v>44917</v>
      </c>
      <c r="C373" s="1" t="n">
        <v>45720</v>
      </c>
      <c r="D373" t="inlineStr">
        <is>
          <t>VÄSTERBOTTENS LÄN</t>
        </is>
      </c>
      <c r="E373" t="inlineStr">
        <is>
          <t>STORUMAN</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61850-2022</t>
        </is>
      </c>
      <c r="B374" s="1" t="n">
        <v>44917</v>
      </c>
      <c r="C374" s="1" t="n">
        <v>45720</v>
      </c>
      <c r="D374" t="inlineStr">
        <is>
          <t>VÄSTERBOTTENS LÄN</t>
        </is>
      </c>
      <c r="E374" t="inlineStr">
        <is>
          <t>STORUMAN</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v>
      </c>
      <c r="C375" s="1" t="n">
        <v>45720</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61852-2022</t>
        </is>
      </c>
      <c r="B376" s="1" t="n">
        <v>44917</v>
      </c>
      <c r="C376" s="1" t="n">
        <v>45720</v>
      </c>
      <c r="D376" t="inlineStr">
        <is>
          <t>VÄSTERBOTTENS LÄN</t>
        </is>
      </c>
      <c r="E376" t="inlineStr">
        <is>
          <t>STORUMAN</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916-2023</t>
        </is>
      </c>
      <c r="B377" s="1" t="n">
        <v>44931</v>
      </c>
      <c r="C377" s="1" t="n">
        <v>45720</v>
      </c>
      <c r="D377" t="inlineStr">
        <is>
          <t>VÄSTERBOTTENS LÄN</t>
        </is>
      </c>
      <c r="E377" t="inlineStr">
        <is>
          <t>STORUMAN</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2163-2023</t>
        </is>
      </c>
      <c r="B378" s="1" t="n">
        <v>44941</v>
      </c>
      <c r="C378" s="1" t="n">
        <v>45720</v>
      </c>
      <c r="D378" t="inlineStr">
        <is>
          <t>VÄSTERBOTTENS LÄN</t>
        </is>
      </c>
      <c r="E378" t="inlineStr">
        <is>
          <t>STORUMAN</t>
        </is>
      </c>
      <c r="G378" t="n">
        <v>15.4</v>
      </c>
      <c r="H378" t="n">
        <v>0</v>
      </c>
      <c r="I378" t="n">
        <v>0</v>
      </c>
      <c r="J378" t="n">
        <v>0</v>
      </c>
      <c r="K378" t="n">
        <v>0</v>
      </c>
      <c r="L378" t="n">
        <v>0</v>
      </c>
      <c r="M378" t="n">
        <v>0</v>
      </c>
      <c r="N378" t="n">
        <v>0</v>
      </c>
      <c r="O378" t="n">
        <v>0</v>
      </c>
      <c r="P378" t="n">
        <v>0</v>
      </c>
      <c r="Q378" t="n">
        <v>0</v>
      </c>
      <c r="R378" s="2" t="inlineStr"/>
    </row>
    <row r="379" ht="15" customHeight="1">
      <c r="A379" t="inlineStr">
        <is>
          <t>A 6549-2023</t>
        </is>
      </c>
      <c r="B379" s="1" t="n">
        <v>44966</v>
      </c>
      <c r="C379" s="1" t="n">
        <v>45720</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6762-2023</t>
        </is>
      </c>
      <c r="B380" s="1" t="n">
        <v>44966</v>
      </c>
      <c r="C380" s="1" t="n">
        <v>45720</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45720</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6758-2023</t>
        </is>
      </c>
      <c r="B382" s="1" t="n">
        <v>44966</v>
      </c>
      <c r="C382" s="1" t="n">
        <v>45720</v>
      </c>
      <c r="D382" t="inlineStr">
        <is>
          <t>VÄSTERBOTTENS LÄN</t>
        </is>
      </c>
      <c r="E382" t="inlineStr">
        <is>
          <t>STORUMAN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7006-2023</t>
        </is>
      </c>
      <c r="B383" s="1" t="n">
        <v>44967</v>
      </c>
      <c r="C383" s="1" t="n">
        <v>45720</v>
      </c>
      <c r="D383" t="inlineStr">
        <is>
          <t>VÄSTERBOTTENS LÄN</t>
        </is>
      </c>
      <c r="E383" t="inlineStr">
        <is>
          <t>STORUMAN</t>
        </is>
      </c>
      <c r="G383" t="n">
        <v>22</v>
      </c>
      <c r="H383" t="n">
        <v>0</v>
      </c>
      <c r="I383" t="n">
        <v>0</v>
      </c>
      <c r="J383" t="n">
        <v>0</v>
      </c>
      <c r="K383" t="n">
        <v>0</v>
      </c>
      <c r="L383" t="n">
        <v>0</v>
      </c>
      <c r="M383" t="n">
        <v>0</v>
      </c>
      <c r="N383" t="n">
        <v>0</v>
      </c>
      <c r="O383" t="n">
        <v>0</v>
      </c>
      <c r="P383" t="n">
        <v>0</v>
      </c>
      <c r="Q383" t="n">
        <v>0</v>
      </c>
      <c r="R383" s="2" t="inlineStr"/>
    </row>
    <row r="384" ht="15" customHeight="1">
      <c r="A384" t="inlineStr">
        <is>
          <t>A 8209-2023</t>
        </is>
      </c>
      <c r="B384" s="1" t="n">
        <v>44971</v>
      </c>
      <c r="C384" s="1" t="n">
        <v>45720</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7671-2023</t>
        </is>
      </c>
      <c r="B385" s="1" t="n">
        <v>44972</v>
      </c>
      <c r="C385" s="1" t="n">
        <v>45720</v>
      </c>
      <c r="D385" t="inlineStr">
        <is>
          <t>VÄSTERBOTTENS LÄN</t>
        </is>
      </c>
      <c r="E385" t="inlineStr">
        <is>
          <t>STORUMAN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7710-2023</t>
        </is>
      </c>
      <c r="B386" s="1" t="n">
        <v>44972</v>
      </c>
      <c r="C386" s="1" t="n">
        <v>45720</v>
      </c>
      <c r="D386" t="inlineStr">
        <is>
          <t>VÄSTERBOTTENS LÄN</t>
        </is>
      </c>
      <c r="E386" t="inlineStr">
        <is>
          <t>STORUMAN</t>
        </is>
      </c>
      <c r="G386" t="n">
        <v>30.5</v>
      </c>
      <c r="H386" t="n">
        <v>0</v>
      </c>
      <c r="I386" t="n">
        <v>0</v>
      </c>
      <c r="J386" t="n">
        <v>0</v>
      </c>
      <c r="K386" t="n">
        <v>0</v>
      </c>
      <c r="L386" t="n">
        <v>0</v>
      </c>
      <c r="M386" t="n">
        <v>0</v>
      </c>
      <c r="N386" t="n">
        <v>0</v>
      </c>
      <c r="O386" t="n">
        <v>0</v>
      </c>
      <c r="P386" t="n">
        <v>0</v>
      </c>
      <c r="Q386" t="n">
        <v>0</v>
      </c>
      <c r="R386" s="2" t="inlineStr"/>
    </row>
    <row r="387" ht="15" customHeight="1">
      <c r="A387" t="inlineStr">
        <is>
          <t>A 12359-2023</t>
        </is>
      </c>
      <c r="B387" s="1" t="n">
        <v>44995</v>
      </c>
      <c r="C387" s="1" t="n">
        <v>45720</v>
      </c>
      <c r="D387" t="inlineStr">
        <is>
          <t>VÄSTERBOTTENS LÄN</t>
        </is>
      </c>
      <c r="E387" t="inlineStr">
        <is>
          <t>STORUMAN</t>
        </is>
      </c>
      <c r="F387" t="inlineStr">
        <is>
          <t>Allmännings- och besparingsskogar</t>
        </is>
      </c>
      <c r="G387" t="n">
        <v>449.5</v>
      </c>
      <c r="H387" t="n">
        <v>0</v>
      </c>
      <c r="I387" t="n">
        <v>0</v>
      </c>
      <c r="J387" t="n">
        <v>0</v>
      </c>
      <c r="K387" t="n">
        <v>0</v>
      </c>
      <c r="L387" t="n">
        <v>0</v>
      </c>
      <c r="M387" t="n">
        <v>0</v>
      </c>
      <c r="N387" t="n">
        <v>0</v>
      </c>
      <c r="O387" t="n">
        <v>0</v>
      </c>
      <c r="P387" t="n">
        <v>0</v>
      </c>
      <c r="Q387" t="n">
        <v>0</v>
      </c>
      <c r="R387" s="2" t="inlineStr"/>
    </row>
    <row r="388" ht="15" customHeight="1">
      <c r="A388" t="inlineStr">
        <is>
          <t>A 12081-2023</t>
        </is>
      </c>
      <c r="B388" s="1" t="n">
        <v>44997</v>
      </c>
      <c r="C388" s="1" t="n">
        <v>45720</v>
      </c>
      <c r="D388" t="inlineStr">
        <is>
          <t>VÄSTERBOTTENS LÄN</t>
        </is>
      </c>
      <c r="E388" t="inlineStr">
        <is>
          <t>STORUMAN</t>
        </is>
      </c>
      <c r="G388" t="n">
        <v>0.7</v>
      </c>
      <c r="H388" t="n">
        <v>0</v>
      </c>
      <c r="I388" t="n">
        <v>0</v>
      </c>
      <c r="J388" t="n">
        <v>0</v>
      </c>
      <c r="K388" t="n">
        <v>0</v>
      </c>
      <c r="L388" t="n">
        <v>0</v>
      </c>
      <c r="M388" t="n">
        <v>0</v>
      </c>
      <c r="N388" t="n">
        <v>0</v>
      </c>
      <c r="O388" t="n">
        <v>0</v>
      </c>
      <c r="P388" t="n">
        <v>0</v>
      </c>
      <c r="Q388" t="n">
        <v>0</v>
      </c>
      <c r="R388" s="2" t="inlineStr"/>
    </row>
    <row r="389" ht="15" customHeight="1">
      <c r="A389" t="inlineStr">
        <is>
          <t>A 12561-2023</t>
        </is>
      </c>
      <c r="B389" s="1" t="n">
        <v>44998</v>
      </c>
      <c r="C389" s="1" t="n">
        <v>45720</v>
      </c>
      <c r="D389" t="inlineStr">
        <is>
          <t>VÄSTERBOTTENS LÄN</t>
        </is>
      </c>
      <c r="E389" t="inlineStr">
        <is>
          <t>STORUMAN</t>
        </is>
      </c>
      <c r="F389" t="inlineStr">
        <is>
          <t>Övriga statliga verk och myndigheter</t>
        </is>
      </c>
      <c r="G389" t="n">
        <v>6.9</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45720</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12436-2023</t>
        </is>
      </c>
      <c r="B391" s="1" t="n">
        <v>44998</v>
      </c>
      <c r="C391" s="1" t="n">
        <v>45720</v>
      </c>
      <c r="D391" t="inlineStr">
        <is>
          <t>VÄSTERBOTTENS LÄN</t>
        </is>
      </c>
      <c r="E391" t="inlineStr">
        <is>
          <t>STORUMAN</t>
        </is>
      </c>
      <c r="G391" t="n">
        <v>16.5</v>
      </c>
      <c r="H391" t="n">
        <v>0</v>
      </c>
      <c r="I391" t="n">
        <v>0</v>
      </c>
      <c r="J391" t="n">
        <v>0</v>
      </c>
      <c r="K391" t="n">
        <v>0</v>
      </c>
      <c r="L391" t="n">
        <v>0</v>
      </c>
      <c r="M391" t="n">
        <v>0</v>
      </c>
      <c r="N391" t="n">
        <v>0</v>
      </c>
      <c r="O391" t="n">
        <v>0</v>
      </c>
      <c r="P391" t="n">
        <v>0</v>
      </c>
      <c r="Q391" t="n">
        <v>0</v>
      </c>
      <c r="R391" s="2" t="inlineStr"/>
    </row>
    <row r="392" ht="15" customHeight="1">
      <c r="A392" t="inlineStr">
        <is>
          <t>A 12556-2023</t>
        </is>
      </c>
      <c r="B392" s="1" t="n">
        <v>44998</v>
      </c>
      <c r="C392" s="1" t="n">
        <v>45720</v>
      </c>
      <c r="D392" t="inlineStr">
        <is>
          <t>VÄSTERBOTTENS LÄN</t>
        </is>
      </c>
      <c r="E392" t="inlineStr">
        <is>
          <t>STORUMAN</t>
        </is>
      </c>
      <c r="F392" t="inlineStr">
        <is>
          <t>Övriga statliga verk och myndigheter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13441-2023</t>
        </is>
      </c>
      <c r="B393" s="1" t="n">
        <v>45005</v>
      </c>
      <c r="C393" s="1" t="n">
        <v>45720</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13430-2023</t>
        </is>
      </c>
      <c r="B394" s="1" t="n">
        <v>45005</v>
      </c>
      <c r="C394" s="1" t="n">
        <v>45720</v>
      </c>
      <c r="D394" t="inlineStr">
        <is>
          <t>VÄSTERBOTTENS LÄN</t>
        </is>
      </c>
      <c r="E394" t="inlineStr">
        <is>
          <t>STORUMAN</t>
        </is>
      </c>
      <c r="G394" t="n">
        <v>7.3</v>
      </c>
      <c r="H394" t="n">
        <v>0</v>
      </c>
      <c r="I394" t="n">
        <v>0</v>
      </c>
      <c r="J394" t="n">
        <v>0</v>
      </c>
      <c r="K394" t="n">
        <v>0</v>
      </c>
      <c r="L394" t="n">
        <v>0</v>
      </c>
      <c r="M394" t="n">
        <v>0</v>
      </c>
      <c r="N394" t="n">
        <v>0</v>
      </c>
      <c r="O394" t="n">
        <v>0</v>
      </c>
      <c r="P394" t="n">
        <v>0</v>
      </c>
      <c r="Q394" t="n">
        <v>0</v>
      </c>
      <c r="R394" s="2" t="inlineStr"/>
    </row>
    <row r="395" ht="15" customHeight="1">
      <c r="A395" t="inlineStr">
        <is>
          <t>A 14661-2023</t>
        </is>
      </c>
      <c r="B395" s="1" t="n">
        <v>45013</v>
      </c>
      <c r="C395" s="1" t="n">
        <v>45720</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45720</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14953-2023</t>
        </is>
      </c>
      <c r="B397" s="1" t="n">
        <v>45014</v>
      </c>
      <c r="C397" s="1" t="n">
        <v>45720</v>
      </c>
      <c r="D397" t="inlineStr">
        <is>
          <t>VÄSTERBOTTENS LÄN</t>
        </is>
      </c>
      <c r="E397" t="inlineStr">
        <is>
          <t>STORUMAN</t>
        </is>
      </c>
      <c r="G397" t="n">
        <v>6</v>
      </c>
      <c r="H397" t="n">
        <v>0</v>
      </c>
      <c r="I397" t="n">
        <v>0</v>
      </c>
      <c r="J397" t="n">
        <v>0</v>
      </c>
      <c r="K397" t="n">
        <v>0</v>
      </c>
      <c r="L397" t="n">
        <v>0</v>
      </c>
      <c r="M397" t="n">
        <v>0</v>
      </c>
      <c r="N397" t="n">
        <v>0</v>
      </c>
      <c r="O397" t="n">
        <v>0</v>
      </c>
      <c r="P397" t="n">
        <v>0</v>
      </c>
      <c r="Q397" t="n">
        <v>0</v>
      </c>
      <c r="R397" s="2" t="inlineStr"/>
    </row>
    <row r="398" ht="15" customHeight="1">
      <c r="A398" t="inlineStr">
        <is>
          <t>A 15339-2023</t>
        </is>
      </c>
      <c r="B398" s="1" t="n">
        <v>45016</v>
      </c>
      <c r="C398" s="1" t="n">
        <v>45720</v>
      </c>
      <c r="D398" t="inlineStr">
        <is>
          <t>VÄSTERBOTTENS LÄN</t>
        </is>
      </c>
      <c r="E398" t="inlineStr">
        <is>
          <t>STORUMAN</t>
        </is>
      </c>
      <c r="G398" t="n">
        <v>97.5</v>
      </c>
      <c r="H398" t="n">
        <v>0</v>
      </c>
      <c r="I398" t="n">
        <v>0</v>
      </c>
      <c r="J398" t="n">
        <v>0</v>
      </c>
      <c r="K398" t="n">
        <v>0</v>
      </c>
      <c r="L398" t="n">
        <v>0</v>
      </c>
      <c r="M398" t="n">
        <v>0</v>
      </c>
      <c r="N398" t="n">
        <v>0</v>
      </c>
      <c r="O398" t="n">
        <v>0</v>
      </c>
      <c r="P398" t="n">
        <v>0</v>
      </c>
      <c r="Q398" t="n">
        <v>0</v>
      </c>
      <c r="R398" s="2" t="inlineStr"/>
    </row>
    <row r="399" ht="15" customHeight="1">
      <c r="A399" t="inlineStr">
        <is>
          <t>A 15804-2023</t>
        </is>
      </c>
      <c r="B399" s="1" t="n">
        <v>45021</v>
      </c>
      <c r="C399" s="1" t="n">
        <v>45720</v>
      </c>
      <c r="D399" t="inlineStr">
        <is>
          <t>VÄSTERBOTTENS LÄN</t>
        </is>
      </c>
      <c r="E399" t="inlineStr">
        <is>
          <t>STORUMAN</t>
        </is>
      </c>
      <c r="G399" t="n">
        <v>15.5</v>
      </c>
      <c r="H399" t="n">
        <v>0</v>
      </c>
      <c r="I399" t="n">
        <v>0</v>
      </c>
      <c r="J399" t="n">
        <v>0</v>
      </c>
      <c r="K399" t="n">
        <v>0</v>
      </c>
      <c r="L399" t="n">
        <v>0</v>
      </c>
      <c r="M399" t="n">
        <v>0</v>
      </c>
      <c r="N399" t="n">
        <v>0</v>
      </c>
      <c r="O399" t="n">
        <v>0</v>
      </c>
      <c r="P399" t="n">
        <v>0</v>
      </c>
      <c r="Q399" t="n">
        <v>0</v>
      </c>
      <c r="R399" s="2" t="inlineStr"/>
    </row>
    <row r="400" ht="15" customHeight="1">
      <c r="A400" t="inlineStr">
        <is>
          <t>A 15822-2023</t>
        </is>
      </c>
      <c r="B400" s="1" t="n">
        <v>45022</v>
      </c>
      <c r="C400" s="1" t="n">
        <v>45720</v>
      </c>
      <c r="D400" t="inlineStr">
        <is>
          <t>VÄSTERBOTTENS LÄN</t>
        </is>
      </c>
      <c r="E400" t="inlineStr">
        <is>
          <t>STORUMAN</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15819-2023</t>
        </is>
      </c>
      <c r="B401" s="1" t="n">
        <v>45022</v>
      </c>
      <c r="C401" s="1" t="n">
        <v>45720</v>
      </c>
      <c r="D401" t="inlineStr">
        <is>
          <t>VÄSTERBOTTENS LÄN</t>
        </is>
      </c>
      <c r="E401" t="inlineStr">
        <is>
          <t>STORUMAN</t>
        </is>
      </c>
      <c r="F401" t="inlineStr">
        <is>
          <t>SCA</t>
        </is>
      </c>
      <c r="G401" t="n">
        <v>12.1</v>
      </c>
      <c r="H401" t="n">
        <v>0</v>
      </c>
      <c r="I401" t="n">
        <v>0</v>
      </c>
      <c r="J401" t="n">
        <v>0</v>
      </c>
      <c r="K401" t="n">
        <v>0</v>
      </c>
      <c r="L401" t="n">
        <v>0</v>
      </c>
      <c r="M401" t="n">
        <v>0</v>
      </c>
      <c r="N401" t="n">
        <v>0</v>
      </c>
      <c r="O401" t="n">
        <v>0</v>
      </c>
      <c r="P401" t="n">
        <v>0</v>
      </c>
      <c r="Q401" t="n">
        <v>0</v>
      </c>
      <c r="R401" s="2" t="inlineStr"/>
    </row>
    <row r="402" ht="15" customHeight="1">
      <c r="A402" t="inlineStr">
        <is>
          <t>A 18262-2023</t>
        </is>
      </c>
      <c r="B402" s="1" t="n">
        <v>45040</v>
      </c>
      <c r="C402" s="1" t="n">
        <v>45720</v>
      </c>
      <c r="D402" t="inlineStr">
        <is>
          <t>VÄSTERBOTTENS LÄN</t>
        </is>
      </c>
      <c r="E402" t="inlineStr">
        <is>
          <t>STORUMAN</t>
        </is>
      </c>
      <c r="G402" t="n">
        <v>6.2</v>
      </c>
      <c r="H402" t="n">
        <v>0</v>
      </c>
      <c r="I402" t="n">
        <v>0</v>
      </c>
      <c r="J402" t="n">
        <v>0</v>
      </c>
      <c r="K402" t="n">
        <v>0</v>
      </c>
      <c r="L402" t="n">
        <v>0</v>
      </c>
      <c r="M402" t="n">
        <v>0</v>
      </c>
      <c r="N402" t="n">
        <v>0</v>
      </c>
      <c r="O402" t="n">
        <v>0</v>
      </c>
      <c r="P402" t="n">
        <v>0</v>
      </c>
      <c r="Q402" t="n">
        <v>0</v>
      </c>
      <c r="R402" s="2" t="inlineStr"/>
    </row>
    <row r="403" ht="15" customHeight="1">
      <c r="A403" t="inlineStr">
        <is>
          <t>A 18846-2023</t>
        </is>
      </c>
      <c r="B403" s="1" t="n">
        <v>45042</v>
      </c>
      <c r="C403" s="1" t="n">
        <v>45720</v>
      </c>
      <c r="D403" t="inlineStr">
        <is>
          <t>VÄSTERBOTTENS LÄN</t>
        </is>
      </c>
      <c r="E403" t="inlineStr">
        <is>
          <t>STORUMAN</t>
        </is>
      </c>
      <c r="G403" t="n">
        <v>17.7</v>
      </c>
      <c r="H403" t="n">
        <v>0</v>
      </c>
      <c r="I403" t="n">
        <v>0</v>
      </c>
      <c r="J403" t="n">
        <v>0</v>
      </c>
      <c r="K403" t="n">
        <v>0</v>
      </c>
      <c r="L403" t="n">
        <v>0</v>
      </c>
      <c r="M403" t="n">
        <v>0</v>
      </c>
      <c r="N403" t="n">
        <v>0</v>
      </c>
      <c r="O403" t="n">
        <v>0</v>
      </c>
      <c r="P403" t="n">
        <v>0</v>
      </c>
      <c r="Q403" t="n">
        <v>0</v>
      </c>
      <c r="R403" s="2" t="inlineStr"/>
    </row>
    <row r="404" ht="15" customHeight="1">
      <c r="A404" t="inlineStr">
        <is>
          <t>A 19326-2023</t>
        </is>
      </c>
      <c r="B404" s="1" t="n">
        <v>45049</v>
      </c>
      <c r="C404" s="1" t="n">
        <v>45720</v>
      </c>
      <c r="D404" t="inlineStr">
        <is>
          <t>VÄSTERBOTTENS LÄN</t>
        </is>
      </c>
      <c r="E404" t="inlineStr">
        <is>
          <t>STORUMAN</t>
        </is>
      </c>
      <c r="G404" t="n">
        <v>35.3</v>
      </c>
      <c r="H404" t="n">
        <v>0</v>
      </c>
      <c r="I404" t="n">
        <v>0</v>
      </c>
      <c r="J404" t="n">
        <v>0</v>
      </c>
      <c r="K404" t="n">
        <v>0</v>
      </c>
      <c r="L404" t="n">
        <v>0</v>
      </c>
      <c r="M404" t="n">
        <v>0</v>
      </c>
      <c r="N404" t="n">
        <v>0</v>
      </c>
      <c r="O404" t="n">
        <v>0</v>
      </c>
      <c r="P404" t="n">
        <v>0</v>
      </c>
      <c r="Q404" t="n">
        <v>0</v>
      </c>
      <c r="R404" s="2" t="inlineStr"/>
    </row>
    <row r="405" ht="15" customHeight="1">
      <c r="A405" t="inlineStr">
        <is>
          <t>A 19605-2023</t>
        </is>
      </c>
      <c r="B405" s="1" t="n">
        <v>45050</v>
      </c>
      <c r="C405" s="1" t="n">
        <v>45720</v>
      </c>
      <c r="D405" t="inlineStr">
        <is>
          <t>VÄSTERBOTTENS LÄN</t>
        </is>
      </c>
      <c r="E405" t="inlineStr">
        <is>
          <t>STORUMAN</t>
        </is>
      </c>
      <c r="G405" t="n">
        <v>14.8</v>
      </c>
      <c r="H405" t="n">
        <v>0</v>
      </c>
      <c r="I405" t="n">
        <v>0</v>
      </c>
      <c r="J405" t="n">
        <v>0</v>
      </c>
      <c r="K405" t="n">
        <v>0</v>
      </c>
      <c r="L405" t="n">
        <v>0</v>
      </c>
      <c r="M405" t="n">
        <v>0</v>
      </c>
      <c r="N405" t="n">
        <v>0</v>
      </c>
      <c r="O405" t="n">
        <v>0</v>
      </c>
      <c r="P405" t="n">
        <v>0</v>
      </c>
      <c r="Q405" t="n">
        <v>0</v>
      </c>
      <c r="R405" s="2" t="inlineStr"/>
    </row>
    <row r="406" ht="15" customHeight="1">
      <c r="A406" t="inlineStr">
        <is>
          <t>A 19607-2023</t>
        </is>
      </c>
      <c r="B406" s="1" t="n">
        <v>45051</v>
      </c>
      <c r="C406" s="1" t="n">
        <v>45720</v>
      </c>
      <c r="D406" t="inlineStr">
        <is>
          <t>VÄSTERBOTTENS LÄN</t>
        </is>
      </c>
      <c r="E406" t="inlineStr">
        <is>
          <t>STORUMAN</t>
        </is>
      </c>
      <c r="G406" t="n">
        <v>4.5</v>
      </c>
      <c r="H406" t="n">
        <v>0</v>
      </c>
      <c r="I406" t="n">
        <v>0</v>
      </c>
      <c r="J406" t="n">
        <v>0</v>
      </c>
      <c r="K406" t="n">
        <v>0</v>
      </c>
      <c r="L406" t="n">
        <v>0</v>
      </c>
      <c r="M406" t="n">
        <v>0</v>
      </c>
      <c r="N406" t="n">
        <v>0</v>
      </c>
      <c r="O406" t="n">
        <v>0</v>
      </c>
      <c r="P406" t="n">
        <v>0</v>
      </c>
      <c r="Q406" t="n">
        <v>0</v>
      </c>
      <c r="R406" s="2" t="inlineStr"/>
    </row>
    <row r="407" ht="15" customHeight="1">
      <c r="A407" t="inlineStr">
        <is>
          <t>A 19606-2023</t>
        </is>
      </c>
      <c r="B407" s="1" t="n">
        <v>45051</v>
      </c>
      <c r="C407" s="1" t="n">
        <v>45720</v>
      </c>
      <c r="D407" t="inlineStr">
        <is>
          <t>VÄSTERBOTTENS LÄN</t>
        </is>
      </c>
      <c r="E407" t="inlineStr">
        <is>
          <t>STORUMAN</t>
        </is>
      </c>
      <c r="G407" t="n">
        <v>28.6</v>
      </c>
      <c r="H407" t="n">
        <v>0</v>
      </c>
      <c r="I407" t="n">
        <v>0</v>
      </c>
      <c r="J407" t="n">
        <v>0</v>
      </c>
      <c r="K407" t="n">
        <v>0</v>
      </c>
      <c r="L407" t="n">
        <v>0</v>
      </c>
      <c r="M407" t="n">
        <v>0</v>
      </c>
      <c r="N407" t="n">
        <v>0</v>
      </c>
      <c r="O407" t="n">
        <v>0</v>
      </c>
      <c r="P407" t="n">
        <v>0</v>
      </c>
      <c r="Q407" t="n">
        <v>0</v>
      </c>
      <c r="R407" s="2" t="inlineStr"/>
    </row>
    <row r="408" ht="15" customHeight="1">
      <c r="A408" t="inlineStr">
        <is>
          <t>A 20451-2023</t>
        </is>
      </c>
      <c r="B408" s="1" t="n">
        <v>45056</v>
      </c>
      <c r="C408" s="1" t="n">
        <v>45720</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23138-2023</t>
        </is>
      </c>
      <c r="B409" s="1" t="n">
        <v>45075</v>
      </c>
      <c r="C409" s="1" t="n">
        <v>45720</v>
      </c>
      <c r="D409" t="inlineStr">
        <is>
          <t>VÄSTERBOTTENS LÄN</t>
        </is>
      </c>
      <c r="E409" t="inlineStr">
        <is>
          <t>STORUMAN</t>
        </is>
      </c>
      <c r="F409" t="inlineStr">
        <is>
          <t>Sveaskog</t>
        </is>
      </c>
      <c r="G409" t="n">
        <v>8.5</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45720</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25111-2023</t>
        </is>
      </c>
      <c r="B411" s="1" t="n">
        <v>45078</v>
      </c>
      <c r="C411" s="1" t="n">
        <v>45720</v>
      </c>
      <c r="D411" t="inlineStr">
        <is>
          <t>VÄSTERBOTTENS LÄN</t>
        </is>
      </c>
      <c r="E411" t="inlineStr">
        <is>
          <t>STORUMAN</t>
        </is>
      </c>
      <c r="F411" t="inlineStr">
        <is>
          <t>Övriga statliga verk och myndigheter</t>
        </is>
      </c>
      <c r="G411" t="n">
        <v>445.5</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45720</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45720</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45720</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45720</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45720</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45720</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45720</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45720</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45720</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45720</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45720</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45720</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45720</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45720</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45720</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45720</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45720</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45720</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45720</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45720</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45720</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45720</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45720</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45720</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45720</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45720</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45720</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45720</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45720</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45720</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45720</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45720</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45720</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45720</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45720</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45720</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45720</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45720</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45720</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45720</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45720</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45720</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45720</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45720</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45720</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45720</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45720</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45720</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45720</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45720</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45720</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45720</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45720</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45720</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45720</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45720</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45720</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45720</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45720</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45720</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45720</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45720</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45720</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45720</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45720</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45720</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45720</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45720</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45720</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45720</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45720</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45720</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45720</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45720</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45720</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45720</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45720</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45720</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45720</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45720</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45720</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45720</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45720</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45720</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45720</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45720</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45720</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45720</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45720</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45720</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45720</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45720</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45720</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45720</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45720</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45720</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45720</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45720</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45720</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45720</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45720</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45720</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45720</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45720</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45720</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45720</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45720</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45720</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45720</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45720</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45720</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45720</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45720</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45720</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45720</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45720</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45720</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45720</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45720</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45720</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45720</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45720</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45720</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45720</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45720</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45720</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45720</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45720</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45720</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45720</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45720</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45720</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45720</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45720</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45720</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45720</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45720</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45720</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45720</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45720</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45720</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45720</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45720</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45720</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45720</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45720</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45720</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45720</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45720</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45720</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45720</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45720</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45720</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45720</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45720</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45720</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45720</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45720</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45720</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45720</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45720</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45720</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45720</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45720</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45720</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45720</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45720</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45720</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45720</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45720</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45720</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45720</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45720</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45720</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45720</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45720</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45720</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45720</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45720</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45720</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45720</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45720</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45720</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45720</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45720</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45720</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45720</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45720</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45720</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45720</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45720</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45720</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45720</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45720</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45720</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45720</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45720</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45720</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45720</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45720</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45720</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45720</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45720</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45720</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45720</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45720</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45720</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45720</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45720</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45720</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45720</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45720</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45720</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45720</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45720</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45720</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45720</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45720</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45720</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45720</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45720</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45720</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45720</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45720</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45720</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45720</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45720</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45720</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45720</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ht="15" customHeight="1">
      <c r="A641" t="inlineStr">
        <is>
          <t>A 8706-2025</t>
        </is>
      </c>
      <c r="B641" s="1" t="n">
        <v>45712</v>
      </c>
      <c r="C641" s="1" t="n">
        <v>45720</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9961-2025</t>
        </is>
      </c>
      <c r="B642" s="1" t="n">
        <v>45719</v>
      </c>
      <c r="C642" s="1" t="n">
        <v>45720</v>
      </c>
      <c r="D642" t="inlineStr">
        <is>
          <t>VÄSTERBOTTENS LÄN</t>
        </is>
      </c>
      <c r="E642" t="inlineStr">
        <is>
          <t>STORUMAN</t>
        </is>
      </c>
      <c r="G642" t="n">
        <v>13.7</v>
      </c>
      <c r="H642" t="n">
        <v>0</v>
      </c>
      <c r="I642" t="n">
        <v>0</v>
      </c>
      <c r="J642" t="n">
        <v>0</v>
      </c>
      <c r="K642" t="n">
        <v>0</v>
      </c>
      <c r="L642" t="n">
        <v>0</v>
      </c>
      <c r="M642" t="n">
        <v>0</v>
      </c>
      <c r="N642" t="n">
        <v>0</v>
      </c>
      <c r="O642" t="n">
        <v>0</v>
      </c>
      <c r="P642" t="n">
        <v>0</v>
      </c>
      <c r="Q642" t="n">
        <v>0</v>
      </c>
      <c r="R642" s="2" t="inlineStr"/>
    </row>
    <row r="643">
      <c r="A643" t="inlineStr">
        <is>
          <t>A 10123-2025</t>
        </is>
      </c>
      <c r="B643" s="1" t="n">
        <v>45719</v>
      </c>
      <c r="C643" s="1" t="n">
        <v>45720</v>
      </c>
      <c r="D643" t="inlineStr">
        <is>
          <t>VÄSTERBOTTENS LÄN</t>
        </is>
      </c>
      <c r="E643" t="inlineStr">
        <is>
          <t>STORUMAN</t>
        </is>
      </c>
      <c r="G643" t="n">
        <v>2.4</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2025-03-04T17:20:32Z</dcterms:created>
  <dcterms:modified xmlns:dcterms="http://purl.org/dc/terms/" xmlns:xsi="http://www.w3.org/2001/XMLSchema-instance" xsi:type="dcterms:W3CDTF">2025-03-04T17:20:32Z</dcterms:modified>
</cp:coreProperties>
</file>