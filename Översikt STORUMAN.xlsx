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45707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45707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45707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45707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45707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45707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45707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45707</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45707</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45707</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45707</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45707</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45707</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45707</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45707</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45707</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45707</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45707</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45707</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45707</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45707</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45707</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45707</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45707</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45707</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45707</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45707</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45707</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45707</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45707</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45707</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45707</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45707</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45707</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45707</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45707</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45707</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45707</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45707</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45707</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45707</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45707</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45707</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45707</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45707</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45707</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45707</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45707</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45707</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45707</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56912-2019</t>
        </is>
      </c>
      <c r="B56" s="1" t="n">
        <v>43766</v>
      </c>
      <c r="C56" s="1" t="n">
        <v>45707</v>
      </c>
      <c r="D56" t="inlineStr">
        <is>
          <t>VÄSTERBOTTENS LÄN</t>
        </is>
      </c>
      <c r="E56" t="inlineStr">
        <is>
          <t>STORUMAN</t>
        </is>
      </c>
      <c r="F56" t="inlineStr">
        <is>
          <t>Sveaskog</t>
        </is>
      </c>
      <c r="G56" t="n">
        <v>4.6</v>
      </c>
      <c r="H56" t="n">
        <v>1</v>
      </c>
      <c r="I56" t="n">
        <v>2</v>
      </c>
      <c r="J56" t="n">
        <v>2</v>
      </c>
      <c r="K56" t="n">
        <v>1</v>
      </c>
      <c r="L56" t="n">
        <v>0</v>
      </c>
      <c r="M56" t="n">
        <v>0</v>
      </c>
      <c r="N56" t="n">
        <v>0</v>
      </c>
      <c r="O56" t="n">
        <v>3</v>
      </c>
      <c r="P56" t="n">
        <v>1</v>
      </c>
      <c r="Q56" t="n">
        <v>5</v>
      </c>
      <c r="R56" s="2" t="inlineStr">
        <is>
          <t>Doftticka
Lunglav
Vedskivlav
Bårdlav
Skarp dropptaggsvamp</t>
        </is>
      </c>
      <c r="S56">
        <f>HYPERLINK("https://klasma.github.io/Logging_2421/artfynd/A 56912-2019 artfynd.xlsx", "A 56912-2019")</f>
        <v/>
      </c>
      <c r="T56">
        <f>HYPERLINK("https://klasma.github.io/Logging_2421/kartor/A 56912-2019 karta.png", "A 56912-2019")</f>
        <v/>
      </c>
      <c r="V56">
        <f>HYPERLINK("https://klasma.github.io/Logging_2421/klagomål/A 56912-2019 FSC-klagomål.docx", "A 56912-2019")</f>
        <v/>
      </c>
      <c r="W56">
        <f>HYPERLINK("https://klasma.github.io/Logging_2421/klagomålsmail/A 56912-2019 FSC-klagomål mail.docx", "A 56912-2019")</f>
        <v/>
      </c>
      <c r="X56">
        <f>HYPERLINK("https://klasma.github.io/Logging_2421/tillsyn/A 56912-2019 tillsynsbegäran.docx", "A 56912-2019")</f>
        <v/>
      </c>
      <c r="Y56">
        <f>HYPERLINK("https://klasma.github.io/Logging_2421/tillsynsmail/A 56912-2019 tillsynsbegäran mail.docx", "A 56912-2019")</f>
        <v/>
      </c>
    </row>
    <row r="57" ht="15" customHeight="1">
      <c r="A57" t="inlineStr">
        <is>
          <t>A 20701-2023</t>
        </is>
      </c>
      <c r="B57" s="1" t="n">
        <v>45055</v>
      </c>
      <c r="C57" s="1" t="n">
        <v>45707</v>
      </c>
      <c r="D57" t="inlineStr">
        <is>
          <t>VÄSTERBOTTENS LÄN</t>
        </is>
      </c>
      <c r="E57" t="inlineStr">
        <is>
          <t>STORUMAN</t>
        </is>
      </c>
      <c r="G57" t="n">
        <v>12.7</v>
      </c>
      <c r="H57" t="n">
        <v>1</v>
      </c>
      <c r="I57" t="n">
        <v>2</v>
      </c>
      <c r="J57" t="n">
        <v>3</v>
      </c>
      <c r="K57" t="n">
        <v>0</v>
      </c>
      <c r="L57" t="n">
        <v>0</v>
      </c>
      <c r="M57" t="n">
        <v>0</v>
      </c>
      <c r="N57" t="n">
        <v>0</v>
      </c>
      <c r="O57" t="n">
        <v>3</v>
      </c>
      <c r="P57" t="n">
        <v>0</v>
      </c>
      <c r="Q57" t="n">
        <v>5</v>
      </c>
      <c r="R57" s="2" t="inlineStr">
        <is>
          <t>Garnlav
Skrovellav
Tretåig hackspett
Blodticka
Luddlav</t>
        </is>
      </c>
      <c r="S57">
        <f>HYPERLINK("https://klasma.github.io/Logging_2421/artfynd/A 20701-2023 artfynd.xlsx", "A 20701-2023")</f>
        <v/>
      </c>
      <c r="T57">
        <f>HYPERLINK("https://klasma.github.io/Logging_2421/kartor/A 20701-2023 karta.png", "A 20701-2023")</f>
        <v/>
      </c>
      <c r="V57">
        <f>HYPERLINK("https://klasma.github.io/Logging_2421/klagomål/A 20701-2023 FSC-klagomål.docx", "A 20701-2023")</f>
        <v/>
      </c>
      <c r="W57">
        <f>HYPERLINK("https://klasma.github.io/Logging_2421/klagomålsmail/A 20701-2023 FSC-klagomål mail.docx", "A 20701-2023")</f>
        <v/>
      </c>
      <c r="X57">
        <f>HYPERLINK("https://klasma.github.io/Logging_2421/tillsyn/A 20701-2023 tillsynsbegäran.docx", "A 20701-2023")</f>
        <v/>
      </c>
      <c r="Y57">
        <f>HYPERLINK("https://klasma.github.io/Logging_2421/tillsynsmail/A 20701-2023 tillsynsbegäran mail.docx", "A 20701-2023")</f>
        <v/>
      </c>
      <c r="Z57">
        <f>HYPERLINK("https://klasma.github.io/Logging_2421/fåglar/A 20701-2023 prioriterade fågelarter.docx", "A 20701-2023")</f>
        <v/>
      </c>
    </row>
    <row r="58" ht="15" customHeight="1">
      <c r="A58" t="inlineStr">
        <is>
          <t>A 5167-2020</t>
        </is>
      </c>
      <c r="B58" s="1" t="n">
        <v>43854</v>
      </c>
      <c r="C58" s="1" t="n">
        <v>45707</v>
      </c>
      <c r="D58" t="inlineStr">
        <is>
          <t>VÄSTERBOTTENS LÄN</t>
        </is>
      </c>
      <c r="E58" t="inlineStr">
        <is>
          <t>STORUMAN</t>
        </is>
      </c>
      <c r="G58" t="n">
        <v>17</v>
      </c>
      <c r="H58" t="n">
        <v>3</v>
      </c>
      <c r="I58" t="n">
        <v>2</v>
      </c>
      <c r="J58" t="n">
        <v>2</v>
      </c>
      <c r="K58" t="n">
        <v>0</v>
      </c>
      <c r="L58" t="n">
        <v>0</v>
      </c>
      <c r="M58" t="n">
        <v>0</v>
      </c>
      <c r="N58" t="n">
        <v>0</v>
      </c>
      <c r="O58" t="n">
        <v>2</v>
      </c>
      <c r="P58" t="n">
        <v>0</v>
      </c>
      <c r="Q58" t="n">
        <v>4</v>
      </c>
      <c r="R58" s="2" t="inlineStr">
        <is>
          <t>Järpe
Tretåig hackspett
Lappranunkel
Luddlav</t>
        </is>
      </c>
      <c r="S58">
        <f>HYPERLINK("https://klasma.github.io/Logging_2421/artfynd/A 5167-2020 artfynd.xlsx", "A 5167-2020")</f>
        <v/>
      </c>
      <c r="T58">
        <f>HYPERLINK("https://klasma.github.io/Logging_2421/kartor/A 5167-2020 karta.png", "A 5167-2020")</f>
        <v/>
      </c>
      <c r="U58">
        <f>HYPERLINK("https://klasma.github.io/Logging_2421/knärot/A 5167-2020 karta knärot.png", "A 5167-2020")</f>
        <v/>
      </c>
      <c r="V58">
        <f>HYPERLINK("https://klasma.github.io/Logging_2421/klagomål/A 5167-2020 FSC-klagomål.docx", "A 5167-2020")</f>
        <v/>
      </c>
      <c r="W58">
        <f>HYPERLINK("https://klasma.github.io/Logging_2421/klagomålsmail/A 5167-2020 FSC-klagomål mail.docx", "A 5167-2020")</f>
        <v/>
      </c>
      <c r="X58">
        <f>HYPERLINK("https://klasma.github.io/Logging_2421/tillsyn/A 5167-2020 tillsynsbegäran.docx", "A 5167-2020")</f>
        <v/>
      </c>
      <c r="Y58">
        <f>HYPERLINK("https://klasma.github.io/Logging_2421/tillsynsmail/A 5167-2020 tillsynsbegäran mail.docx", "A 5167-2020")</f>
        <v/>
      </c>
      <c r="Z58">
        <f>HYPERLINK("https://klasma.github.io/Logging_2421/fåglar/A 5167-2020 prioriterade fågelarter.docx", "A 5167-2020")</f>
        <v/>
      </c>
    </row>
    <row r="59" ht="15" customHeight="1">
      <c r="A59" t="inlineStr">
        <is>
          <t>A 48339-2021</t>
        </is>
      </c>
      <c r="B59" s="1" t="n">
        <v>44451</v>
      </c>
      <c r="C59" s="1" t="n">
        <v>45707</v>
      </c>
      <c r="D59" t="inlineStr">
        <is>
          <t>VÄSTERBOTTENS LÄN</t>
        </is>
      </c>
      <c r="E59" t="inlineStr">
        <is>
          <t>STORUMAN</t>
        </is>
      </c>
      <c r="F59" t="inlineStr">
        <is>
          <t>Sveaskog</t>
        </is>
      </c>
      <c r="G59" t="n">
        <v>4</v>
      </c>
      <c r="H59" t="n">
        <v>2</v>
      </c>
      <c r="I59" t="n">
        <v>1</v>
      </c>
      <c r="J59" t="n">
        <v>2</v>
      </c>
      <c r="K59" t="n">
        <v>0</v>
      </c>
      <c r="L59" t="n">
        <v>0</v>
      </c>
      <c r="M59" t="n">
        <v>0</v>
      </c>
      <c r="N59" t="n">
        <v>0</v>
      </c>
      <c r="O59" t="n">
        <v>2</v>
      </c>
      <c r="P59" t="n">
        <v>0</v>
      </c>
      <c r="Q59" t="n">
        <v>4</v>
      </c>
      <c r="R59" s="2" t="inlineStr">
        <is>
          <t>Garnlav
Skrovellav
Spindelblomster
Fläcknycklar</t>
        </is>
      </c>
      <c r="S59">
        <f>HYPERLINK("https://klasma.github.io/Logging_2421/artfynd/A 48339-2021 artfynd.xlsx", "A 48339-2021")</f>
        <v/>
      </c>
      <c r="T59">
        <f>HYPERLINK("https://klasma.github.io/Logging_2421/kartor/A 48339-2021 karta.png", "A 48339-2021")</f>
        <v/>
      </c>
      <c r="V59">
        <f>HYPERLINK("https://klasma.github.io/Logging_2421/klagomål/A 48339-2021 FSC-klagomål.docx", "A 48339-2021")</f>
        <v/>
      </c>
      <c r="W59">
        <f>HYPERLINK("https://klasma.github.io/Logging_2421/klagomålsmail/A 48339-2021 FSC-klagomål mail.docx", "A 48339-2021")</f>
        <v/>
      </c>
      <c r="X59">
        <f>HYPERLINK("https://klasma.github.io/Logging_2421/tillsyn/A 48339-2021 tillsynsbegäran.docx", "A 48339-2021")</f>
        <v/>
      </c>
      <c r="Y59">
        <f>HYPERLINK("https://klasma.github.io/Logging_2421/tillsynsmail/A 48339-2021 tillsynsbegäran mail.docx", "A 48339-2021")</f>
        <v/>
      </c>
    </row>
    <row r="60" ht="15" customHeight="1">
      <c r="A60" t="inlineStr">
        <is>
          <t>A 33350-2022</t>
        </is>
      </c>
      <c r="B60" s="1" t="n">
        <v>44788</v>
      </c>
      <c r="C60" s="1" t="n">
        <v>45707</v>
      </c>
      <c r="D60" t="inlineStr">
        <is>
          <t>VÄSTERBOTTENS LÄN</t>
        </is>
      </c>
      <c r="E60" t="inlineStr">
        <is>
          <t>STORUMAN</t>
        </is>
      </c>
      <c r="F60" t="inlineStr">
        <is>
          <t>Sveaskog</t>
        </is>
      </c>
      <c r="G60" t="n">
        <v>6.6</v>
      </c>
      <c r="H60" t="n">
        <v>0</v>
      </c>
      <c r="I60" t="n">
        <v>1</v>
      </c>
      <c r="J60" t="n">
        <v>3</v>
      </c>
      <c r="K60" t="n">
        <v>0</v>
      </c>
      <c r="L60" t="n">
        <v>0</v>
      </c>
      <c r="M60" t="n">
        <v>0</v>
      </c>
      <c r="N60" t="n">
        <v>0</v>
      </c>
      <c r="O60" t="n">
        <v>3</v>
      </c>
      <c r="P60" t="n">
        <v>0</v>
      </c>
      <c r="Q60" t="n">
        <v>4</v>
      </c>
      <c r="R60" s="2" t="inlineStr">
        <is>
          <t>Orange taggsvamp
Talltaggsvamp
Vaddporing
Dropptaggsvamp</t>
        </is>
      </c>
      <c r="S60">
        <f>HYPERLINK("https://klasma.github.io/Logging_2421/artfynd/A 33350-2022 artfynd.xlsx", "A 33350-2022")</f>
        <v/>
      </c>
      <c r="T60">
        <f>HYPERLINK("https://klasma.github.io/Logging_2421/kartor/A 33350-2022 karta.png", "A 33350-2022")</f>
        <v/>
      </c>
      <c r="V60">
        <f>HYPERLINK("https://klasma.github.io/Logging_2421/klagomål/A 33350-2022 FSC-klagomål.docx", "A 33350-2022")</f>
        <v/>
      </c>
      <c r="W60">
        <f>HYPERLINK("https://klasma.github.io/Logging_2421/klagomålsmail/A 33350-2022 FSC-klagomål mail.docx", "A 33350-2022")</f>
        <v/>
      </c>
      <c r="X60">
        <f>HYPERLINK("https://klasma.github.io/Logging_2421/tillsyn/A 33350-2022 tillsynsbegäran.docx", "A 33350-2022")</f>
        <v/>
      </c>
      <c r="Y60">
        <f>HYPERLINK("https://klasma.github.io/Logging_2421/tillsynsmail/A 33350-2022 tillsynsbegäran mail.docx", "A 33350-2022")</f>
        <v/>
      </c>
    </row>
    <row r="61" ht="15" customHeight="1">
      <c r="A61" t="inlineStr">
        <is>
          <t>A 693-2024</t>
        </is>
      </c>
      <c r="B61" s="1" t="n">
        <v>45300</v>
      </c>
      <c r="C61" s="1" t="n">
        <v>45707</v>
      </c>
      <c r="D61" t="inlineStr">
        <is>
          <t>VÄSTERBOTTENS LÄN</t>
        </is>
      </c>
      <c r="E61" t="inlineStr">
        <is>
          <t>STORUMAN</t>
        </is>
      </c>
      <c r="G61" t="n">
        <v>17.7</v>
      </c>
      <c r="H61" t="n">
        <v>1</v>
      </c>
      <c r="I61" t="n">
        <v>1</v>
      </c>
      <c r="J61" t="n">
        <v>3</v>
      </c>
      <c r="K61" t="n">
        <v>0</v>
      </c>
      <c r="L61" t="n">
        <v>0</v>
      </c>
      <c r="M61" t="n">
        <v>0</v>
      </c>
      <c r="N61" t="n">
        <v>0</v>
      </c>
      <c r="O61" t="n">
        <v>3</v>
      </c>
      <c r="P61" t="n">
        <v>0</v>
      </c>
      <c r="Q61" t="n">
        <v>4</v>
      </c>
      <c r="R61" s="2" t="inlineStr">
        <is>
          <t>Harticka
Tretåig hackspett
Ullticka
Trådticka</t>
        </is>
      </c>
      <c r="S61">
        <f>HYPERLINK("https://klasma.github.io/Logging_2421/artfynd/A 693-2024 artfynd.xlsx", "A 693-2024")</f>
        <v/>
      </c>
      <c r="T61">
        <f>HYPERLINK("https://klasma.github.io/Logging_2421/kartor/A 693-2024 karta.png", "A 693-2024")</f>
        <v/>
      </c>
      <c r="V61">
        <f>HYPERLINK("https://klasma.github.io/Logging_2421/klagomål/A 693-2024 FSC-klagomål.docx", "A 693-2024")</f>
        <v/>
      </c>
      <c r="W61">
        <f>HYPERLINK("https://klasma.github.io/Logging_2421/klagomålsmail/A 693-2024 FSC-klagomål mail.docx", "A 693-2024")</f>
        <v/>
      </c>
      <c r="X61">
        <f>HYPERLINK("https://klasma.github.io/Logging_2421/tillsyn/A 693-2024 tillsynsbegäran.docx", "A 693-2024")</f>
        <v/>
      </c>
      <c r="Y61">
        <f>HYPERLINK("https://klasma.github.io/Logging_2421/tillsynsmail/A 693-2024 tillsynsbegäran mail.docx", "A 693-2024")</f>
        <v/>
      </c>
      <c r="Z61">
        <f>HYPERLINK("https://klasma.github.io/Logging_2421/fåglar/A 693-2024 prioriterade fågelarter.docx", "A 693-2024")</f>
        <v/>
      </c>
    </row>
    <row r="62" ht="15" customHeight="1">
      <c r="A62" t="inlineStr">
        <is>
          <t>A 27558-2024</t>
        </is>
      </c>
      <c r="B62" s="1" t="n">
        <v>45474</v>
      </c>
      <c r="C62" s="1" t="n">
        <v>45707</v>
      </c>
      <c r="D62" t="inlineStr">
        <is>
          <t>VÄSTERBOTTENS LÄN</t>
        </is>
      </c>
      <c r="E62" t="inlineStr">
        <is>
          <t>STORUMAN</t>
        </is>
      </c>
      <c r="F62" t="inlineStr">
        <is>
          <t>Sveaskog</t>
        </is>
      </c>
      <c r="G62" t="n">
        <v>5.7</v>
      </c>
      <c r="H62" t="n">
        <v>2</v>
      </c>
      <c r="I62" t="n">
        <v>0</v>
      </c>
      <c r="J62" t="n">
        <v>3</v>
      </c>
      <c r="K62" t="n">
        <v>0</v>
      </c>
      <c r="L62" t="n">
        <v>0</v>
      </c>
      <c r="M62" t="n">
        <v>0</v>
      </c>
      <c r="N62" t="n">
        <v>0</v>
      </c>
      <c r="O62" t="n">
        <v>3</v>
      </c>
      <c r="P62" t="n">
        <v>0</v>
      </c>
      <c r="Q62" t="n">
        <v>4</v>
      </c>
      <c r="R62" s="2" t="inlineStr">
        <is>
          <t>Garnlav
Järpe
Kolflarnlav
Fläcknycklar</t>
        </is>
      </c>
      <c r="S62">
        <f>HYPERLINK("https://klasma.github.io/Logging_2421/artfynd/A 27558-2024 artfynd.xlsx", "A 27558-2024")</f>
        <v/>
      </c>
      <c r="T62">
        <f>HYPERLINK("https://klasma.github.io/Logging_2421/kartor/A 27558-2024 karta.png", "A 27558-2024")</f>
        <v/>
      </c>
      <c r="V62">
        <f>HYPERLINK("https://klasma.github.io/Logging_2421/klagomål/A 27558-2024 FSC-klagomål.docx", "A 27558-2024")</f>
        <v/>
      </c>
      <c r="W62">
        <f>HYPERLINK("https://klasma.github.io/Logging_2421/klagomålsmail/A 27558-2024 FSC-klagomål mail.docx", "A 27558-2024")</f>
        <v/>
      </c>
      <c r="X62">
        <f>HYPERLINK("https://klasma.github.io/Logging_2421/tillsyn/A 27558-2024 tillsynsbegäran.docx", "A 27558-2024")</f>
        <v/>
      </c>
      <c r="Y62">
        <f>HYPERLINK("https://klasma.github.io/Logging_2421/tillsynsmail/A 27558-2024 tillsynsbegäran mail.docx", "A 27558-2024")</f>
        <v/>
      </c>
      <c r="Z62">
        <f>HYPERLINK("https://klasma.github.io/Logging_2421/fåglar/A 27558-2024 prioriterade fågelarter.docx", "A 27558-2024")</f>
        <v/>
      </c>
    </row>
    <row r="63" ht="15" customHeight="1">
      <c r="A63" t="inlineStr">
        <is>
          <t>A 31451-2024</t>
        </is>
      </c>
      <c r="B63" s="1" t="n">
        <v>45506</v>
      </c>
      <c r="C63" s="1" t="n">
        <v>45707</v>
      </c>
      <c r="D63" t="inlineStr">
        <is>
          <t>VÄSTERBOTTENS LÄN</t>
        </is>
      </c>
      <c r="E63" t="inlineStr">
        <is>
          <t>STORUMAN</t>
        </is>
      </c>
      <c r="G63" t="n">
        <v>16</v>
      </c>
      <c r="H63" t="n">
        <v>1</v>
      </c>
      <c r="I63" t="n">
        <v>1</v>
      </c>
      <c r="J63" t="n">
        <v>3</v>
      </c>
      <c r="K63" t="n">
        <v>0</v>
      </c>
      <c r="L63" t="n">
        <v>0</v>
      </c>
      <c r="M63" t="n">
        <v>0</v>
      </c>
      <c r="N63" t="n">
        <v>0</v>
      </c>
      <c r="O63" t="n">
        <v>3</v>
      </c>
      <c r="P63" t="n">
        <v>0</v>
      </c>
      <c r="Q63" t="n">
        <v>4</v>
      </c>
      <c r="R63" s="2" t="inlineStr">
        <is>
          <t>Granticka
Tretåig hackspett
Ullticka
Blodticka</t>
        </is>
      </c>
      <c r="S63">
        <f>HYPERLINK("https://klasma.github.io/Logging_2421/artfynd/A 31451-2024 artfynd.xlsx", "A 31451-2024")</f>
        <v/>
      </c>
      <c r="T63">
        <f>HYPERLINK("https://klasma.github.io/Logging_2421/kartor/A 31451-2024 karta.png", "A 31451-2024")</f>
        <v/>
      </c>
      <c r="V63">
        <f>HYPERLINK("https://klasma.github.io/Logging_2421/klagomål/A 31451-2024 FSC-klagomål.docx", "A 31451-2024")</f>
        <v/>
      </c>
      <c r="W63">
        <f>HYPERLINK("https://klasma.github.io/Logging_2421/klagomålsmail/A 31451-2024 FSC-klagomål mail.docx", "A 31451-2024")</f>
        <v/>
      </c>
      <c r="X63">
        <f>HYPERLINK("https://klasma.github.io/Logging_2421/tillsyn/A 31451-2024 tillsynsbegäran.docx", "A 31451-2024")</f>
        <v/>
      </c>
      <c r="Y63">
        <f>HYPERLINK("https://klasma.github.io/Logging_2421/tillsynsmail/A 31451-2024 tillsynsbegäran mail.docx", "A 31451-2024")</f>
        <v/>
      </c>
      <c r="Z63">
        <f>HYPERLINK("https://klasma.github.io/Logging_2421/fåglar/A 31451-2024 prioriterade fågelarter.docx", "A 31451-2024")</f>
        <v/>
      </c>
    </row>
    <row r="64" ht="15" customHeight="1">
      <c r="A64" t="inlineStr">
        <is>
          <t>A 33857-2024</t>
        </is>
      </c>
      <c r="B64" s="1" t="n">
        <v>45520</v>
      </c>
      <c r="C64" s="1" t="n">
        <v>45707</v>
      </c>
      <c r="D64" t="inlineStr">
        <is>
          <t>VÄSTERBOTTENS LÄN</t>
        </is>
      </c>
      <c r="E64" t="inlineStr">
        <is>
          <t>STORUMAN</t>
        </is>
      </c>
      <c r="F64" t="inlineStr">
        <is>
          <t>Sveaskog</t>
        </is>
      </c>
      <c r="G64" t="n">
        <v>7.9</v>
      </c>
      <c r="H64" t="n">
        <v>1</v>
      </c>
      <c r="I64" t="n">
        <v>1</v>
      </c>
      <c r="J64" t="n">
        <v>3</v>
      </c>
      <c r="K64" t="n">
        <v>0</v>
      </c>
      <c r="L64" t="n">
        <v>0</v>
      </c>
      <c r="M64" t="n">
        <v>0</v>
      </c>
      <c r="N64" t="n">
        <v>0</v>
      </c>
      <c r="O64" t="n">
        <v>3</v>
      </c>
      <c r="P64" t="n">
        <v>0</v>
      </c>
      <c r="Q64" t="n">
        <v>4</v>
      </c>
      <c r="R64" s="2" t="inlineStr">
        <is>
          <t>Järpe
Kolflarnlav
Mörk kolflarnlav
Skinnlav</t>
        </is>
      </c>
      <c r="S64">
        <f>HYPERLINK("https://klasma.github.io/Logging_2421/artfynd/A 33857-2024 artfynd.xlsx", "A 33857-2024")</f>
        <v/>
      </c>
      <c r="T64">
        <f>HYPERLINK("https://klasma.github.io/Logging_2421/kartor/A 33857-2024 karta.png", "A 33857-2024")</f>
        <v/>
      </c>
      <c r="V64">
        <f>HYPERLINK("https://klasma.github.io/Logging_2421/klagomål/A 33857-2024 FSC-klagomål.docx", "A 33857-2024")</f>
        <v/>
      </c>
      <c r="W64">
        <f>HYPERLINK("https://klasma.github.io/Logging_2421/klagomålsmail/A 33857-2024 FSC-klagomål mail.docx", "A 33857-2024")</f>
        <v/>
      </c>
      <c r="X64">
        <f>HYPERLINK("https://klasma.github.io/Logging_2421/tillsyn/A 33857-2024 tillsynsbegäran.docx", "A 33857-2024")</f>
        <v/>
      </c>
      <c r="Y64">
        <f>HYPERLINK("https://klasma.github.io/Logging_2421/tillsynsmail/A 33857-2024 tillsynsbegäran mail.docx", "A 33857-2024")</f>
        <v/>
      </c>
      <c r="Z64">
        <f>HYPERLINK("https://klasma.github.io/Logging_2421/fåglar/A 33857-2024 prioriterade fågelarter.docx", "A 33857-2024")</f>
        <v/>
      </c>
    </row>
    <row r="65" ht="15" customHeight="1">
      <c r="A65" t="inlineStr">
        <is>
          <t>A 51706-2024</t>
        </is>
      </c>
      <c r="B65" s="1" t="n">
        <v>45604</v>
      </c>
      <c r="C65" s="1" t="n">
        <v>45707</v>
      </c>
      <c r="D65" t="inlineStr">
        <is>
          <t>VÄSTERBOTTENS LÄN</t>
        </is>
      </c>
      <c r="E65" t="inlineStr">
        <is>
          <t>STORUMAN</t>
        </is>
      </c>
      <c r="F65" t="inlineStr">
        <is>
          <t>Allmännings- och besparingsskogar</t>
        </is>
      </c>
      <c r="G65" t="n">
        <v>164.5</v>
      </c>
      <c r="H65" t="n">
        <v>1</v>
      </c>
      <c r="I65" t="n">
        <v>0</v>
      </c>
      <c r="J65" t="n">
        <v>4</v>
      </c>
      <c r="K65" t="n">
        <v>0</v>
      </c>
      <c r="L65" t="n">
        <v>0</v>
      </c>
      <c r="M65" t="n">
        <v>0</v>
      </c>
      <c r="N65" t="n">
        <v>0</v>
      </c>
      <c r="O65" t="n">
        <v>4</v>
      </c>
      <c r="P65" t="n">
        <v>0</v>
      </c>
      <c r="Q65" t="n">
        <v>4</v>
      </c>
      <c r="R65" s="2" t="inlineStr">
        <is>
          <t>Brunpudrad nållav
Garnlav
Granticka
Tretåig hackspett</t>
        </is>
      </c>
      <c r="S65">
        <f>HYPERLINK("https://klasma.github.io/Logging_2421/artfynd/A 51706-2024 artfynd.xlsx", "A 51706-2024")</f>
        <v/>
      </c>
      <c r="T65">
        <f>HYPERLINK("https://klasma.github.io/Logging_2421/kartor/A 51706-2024 karta.png", "A 51706-2024")</f>
        <v/>
      </c>
      <c r="V65">
        <f>HYPERLINK("https://klasma.github.io/Logging_2421/klagomål/A 51706-2024 FSC-klagomål.docx", "A 51706-2024")</f>
        <v/>
      </c>
      <c r="W65">
        <f>HYPERLINK("https://klasma.github.io/Logging_2421/klagomålsmail/A 51706-2024 FSC-klagomål mail.docx", "A 51706-2024")</f>
        <v/>
      </c>
      <c r="X65">
        <f>HYPERLINK("https://klasma.github.io/Logging_2421/tillsyn/A 51706-2024 tillsynsbegäran.docx", "A 51706-2024")</f>
        <v/>
      </c>
      <c r="Y65">
        <f>HYPERLINK("https://klasma.github.io/Logging_2421/tillsynsmail/A 51706-2024 tillsynsbegäran mail.docx", "A 51706-2024")</f>
        <v/>
      </c>
      <c r="Z65">
        <f>HYPERLINK("https://klasma.github.io/Logging_2421/fåglar/A 51706-2024 prioriterade fågelarter.docx", "A 51706-2024")</f>
        <v/>
      </c>
    </row>
    <row r="66" ht="15" customHeight="1">
      <c r="A66" t="inlineStr">
        <is>
          <t>A 34201-2019</t>
        </is>
      </c>
      <c r="B66" s="1" t="n">
        <v>43655</v>
      </c>
      <c r="C66" s="1" t="n">
        <v>45707</v>
      </c>
      <c r="D66" t="inlineStr">
        <is>
          <t>VÄSTERBOTTENS LÄN</t>
        </is>
      </c>
      <c r="E66" t="inlineStr">
        <is>
          <t>STORUMAN</t>
        </is>
      </c>
      <c r="G66" t="n">
        <v>32</v>
      </c>
      <c r="H66" t="n">
        <v>0</v>
      </c>
      <c r="I66" t="n">
        <v>0</v>
      </c>
      <c r="J66" t="n">
        <v>2</v>
      </c>
      <c r="K66" t="n">
        <v>1</v>
      </c>
      <c r="L66" t="n">
        <v>0</v>
      </c>
      <c r="M66" t="n">
        <v>0</v>
      </c>
      <c r="N66" t="n">
        <v>0</v>
      </c>
      <c r="O66" t="n">
        <v>3</v>
      </c>
      <c r="P66" t="n">
        <v>1</v>
      </c>
      <c r="Q66" t="n">
        <v>3</v>
      </c>
      <c r="R66" s="2" t="inlineStr">
        <is>
          <t>Smalfotad taggsvamp
Nordtagging
Rosenticka</t>
        </is>
      </c>
      <c r="S66">
        <f>HYPERLINK("https://klasma.github.io/Logging_2421/artfynd/A 34201-2019 artfynd.xlsx", "A 34201-2019")</f>
        <v/>
      </c>
      <c r="T66">
        <f>HYPERLINK("https://klasma.github.io/Logging_2421/kartor/A 34201-2019 karta.png", "A 34201-2019")</f>
        <v/>
      </c>
      <c r="V66">
        <f>HYPERLINK("https://klasma.github.io/Logging_2421/klagomål/A 34201-2019 FSC-klagomål.docx", "A 34201-2019")</f>
        <v/>
      </c>
      <c r="W66">
        <f>HYPERLINK("https://klasma.github.io/Logging_2421/klagomålsmail/A 34201-2019 FSC-klagomål mail.docx", "A 34201-2019")</f>
        <v/>
      </c>
      <c r="X66">
        <f>HYPERLINK("https://klasma.github.io/Logging_2421/tillsyn/A 34201-2019 tillsynsbegäran.docx", "A 34201-2019")</f>
        <v/>
      </c>
      <c r="Y66">
        <f>HYPERLINK("https://klasma.github.io/Logging_2421/tillsynsmail/A 34201-2019 tillsynsbegäran mail.docx", "A 34201-2019")</f>
        <v/>
      </c>
    </row>
    <row r="67" ht="15" customHeight="1">
      <c r="A67" t="inlineStr">
        <is>
          <t>A 45239-2019</t>
        </is>
      </c>
      <c r="B67" s="1" t="n">
        <v>43713</v>
      </c>
      <c r="C67" s="1" t="n">
        <v>45707</v>
      </c>
      <c r="D67" t="inlineStr">
        <is>
          <t>VÄSTERBOTTENS LÄN</t>
        </is>
      </c>
      <c r="E67" t="inlineStr">
        <is>
          <t>STORUMAN</t>
        </is>
      </c>
      <c r="G67" t="n">
        <v>9.5</v>
      </c>
      <c r="H67" t="n">
        <v>0</v>
      </c>
      <c r="I67" t="n">
        <v>1</v>
      </c>
      <c r="J67" t="n">
        <v>2</v>
      </c>
      <c r="K67" t="n">
        <v>0</v>
      </c>
      <c r="L67" t="n">
        <v>0</v>
      </c>
      <c r="M67" t="n">
        <v>0</v>
      </c>
      <c r="N67" t="n">
        <v>0</v>
      </c>
      <c r="O67" t="n">
        <v>2</v>
      </c>
      <c r="P67" t="n">
        <v>0</v>
      </c>
      <c r="Q67" t="n">
        <v>3</v>
      </c>
      <c r="R67" s="2" t="inlineStr">
        <is>
          <t>Dvärgbägarlav
Vedflamlav
Dropptaggsvamp</t>
        </is>
      </c>
      <c r="S67">
        <f>HYPERLINK("https://klasma.github.io/Logging_2421/artfynd/A 45239-2019 artfynd.xlsx", "A 45239-2019")</f>
        <v/>
      </c>
      <c r="T67">
        <f>HYPERLINK("https://klasma.github.io/Logging_2421/kartor/A 45239-2019 karta.png", "A 45239-2019")</f>
        <v/>
      </c>
      <c r="V67">
        <f>HYPERLINK("https://klasma.github.io/Logging_2421/klagomål/A 45239-2019 FSC-klagomål.docx", "A 45239-2019")</f>
        <v/>
      </c>
      <c r="W67">
        <f>HYPERLINK("https://klasma.github.io/Logging_2421/klagomålsmail/A 45239-2019 FSC-klagomål mail.docx", "A 45239-2019")</f>
        <v/>
      </c>
      <c r="X67">
        <f>HYPERLINK("https://klasma.github.io/Logging_2421/tillsyn/A 45239-2019 tillsynsbegäran.docx", "A 45239-2019")</f>
        <v/>
      </c>
      <c r="Y67">
        <f>HYPERLINK("https://klasma.github.io/Logging_2421/tillsynsmail/A 45239-2019 tillsynsbegäran mail.docx", "A 45239-2019")</f>
        <v/>
      </c>
    </row>
    <row r="68" ht="15" customHeight="1">
      <c r="A68" t="inlineStr">
        <is>
          <t>A 56885-2019</t>
        </is>
      </c>
      <c r="B68" s="1" t="n">
        <v>43766</v>
      </c>
      <c r="C68" s="1" t="n">
        <v>45707</v>
      </c>
      <c r="D68" t="inlineStr">
        <is>
          <t>VÄSTERBOTTENS LÄN</t>
        </is>
      </c>
      <c r="E68" t="inlineStr">
        <is>
          <t>STORUMAN</t>
        </is>
      </c>
      <c r="F68" t="inlineStr">
        <is>
          <t>Sveaskog</t>
        </is>
      </c>
      <c r="G68" t="n">
        <v>9.800000000000001</v>
      </c>
      <c r="H68" t="n">
        <v>0</v>
      </c>
      <c r="I68" t="n">
        <v>1</v>
      </c>
      <c r="J68" t="n">
        <v>2</v>
      </c>
      <c r="K68" t="n">
        <v>0</v>
      </c>
      <c r="L68" t="n">
        <v>0</v>
      </c>
      <c r="M68" t="n">
        <v>0</v>
      </c>
      <c r="N68" t="n">
        <v>0</v>
      </c>
      <c r="O68" t="n">
        <v>2</v>
      </c>
      <c r="P68" t="n">
        <v>0</v>
      </c>
      <c r="Q68" t="n">
        <v>3</v>
      </c>
      <c r="R68" s="2" t="inlineStr">
        <is>
          <t>Gammelgransskål
Garnlav
Luddlav</t>
        </is>
      </c>
      <c r="S68">
        <f>HYPERLINK("https://klasma.github.io/Logging_2421/artfynd/A 56885-2019 artfynd.xlsx", "A 56885-2019")</f>
        <v/>
      </c>
      <c r="T68">
        <f>HYPERLINK("https://klasma.github.io/Logging_2421/kartor/A 56885-2019 karta.png", "A 56885-2019")</f>
        <v/>
      </c>
      <c r="V68">
        <f>HYPERLINK("https://klasma.github.io/Logging_2421/klagomål/A 56885-2019 FSC-klagomål.docx", "A 56885-2019")</f>
        <v/>
      </c>
      <c r="W68">
        <f>HYPERLINK("https://klasma.github.io/Logging_2421/klagomålsmail/A 56885-2019 FSC-klagomål mail.docx", "A 56885-2019")</f>
        <v/>
      </c>
      <c r="X68">
        <f>HYPERLINK("https://klasma.github.io/Logging_2421/tillsyn/A 56885-2019 tillsynsbegäran.docx", "A 56885-2019")</f>
        <v/>
      </c>
      <c r="Y68">
        <f>HYPERLINK("https://klasma.github.io/Logging_2421/tillsynsmail/A 56885-2019 tillsynsbegäran mail.docx", "A 56885-2019")</f>
        <v/>
      </c>
    </row>
    <row r="69" ht="15" customHeight="1">
      <c r="A69" t="inlineStr">
        <is>
          <t>A 40652-2021</t>
        </is>
      </c>
      <c r="B69" s="1" t="n">
        <v>44420</v>
      </c>
      <c r="C69" s="1" t="n">
        <v>45707</v>
      </c>
      <c r="D69" t="inlineStr">
        <is>
          <t>VÄSTERBOTTENS LÄN</t>
        </is>
      </c>
      <c r="E69" t="inlineStr">
        <is>
          <t>STORUMAN</t>
        </is>
      </c>
      <c r="G69" t="n">
        <v>10</v>
      </c>
      <c r="H69" t="n">
        <v>3</v>
      </c>
      <c r="I69" t="n">
        <v>0</v>
      </c>
      <c r="J69" t="n">
        <v>1</v>
      </c>
      <c r="K69" t="n">
        <v>1</v>
      </c>
      <c r="L69" t="n">
        <v>0</v>
      </c>
      <c r="M69" t="n">
        <v>0</v>
      </c>
      <c r="N69" t="n">
        <v>0</v>
      </c>
      <c r="O69" t="n">
        <v>2</v>
      </c>
      <c r="P69" t="n">
        <v>1</v>
      </c>
      <c r="Q69" t="n">
        <v>3</v>
      </c>
      <c r="R69" s="2" t="inlineStr">
        <is>
          <t>Knärot
Tretåig hackspett
Lavskrika</t>
        </is>
      </c>
      <c r="S69">
        <f>HYPERLINK("https://klasma.github.io/Logging_2421/artfynd/A 40652-2021 artfynd.xlsx", "A 40652-2021")</f>
        <v/>
      </c>
      <c r="T69">
        <f>HYPERLINK("https://klasma.github.io/Logging_2421/kartor/A 40652-2021 karta.png", "A 40652-2021")</f>
        <v/>
      </c>
      <c r="U69">
        <f>HYPERLINK("https://klasma.github.io/Logging_2421/knärot/A 40652-2021 karta knärot.png", "A 40652-2021")</f>
        <v/>
      </c>
      <c r="V69">
        <f>HYPERLINK("https://klasma.github.io/Logging_2421/klagomål/A 40652-2021 FSC-klagomål.docx", "A 40652-2021")</f>
        <v/>
      </c>
      <c r="W69">
        <f>HYPERLINK("https://klasma.github.io/Logging_2421/klagomålsmail/A 40652-2021 FSC-klagomål mail.docx", "A 40652-2021")</f>
        <v/>
      </c>
      <c r="X69">
        <f>HYPERLINK("https://klasma.github.io/Logging_2421/tillsyn/A 40652-2021 tillsynsbegäran.docx", "A 40652-2021")</f>
        <v/>
      </c>
      <c r="Y69">
        <f>HYPERLINK("https://klasma.github.io/Logging_2421/tillsynsmail/A 40652-2021 tillsynsbegäran mail.docx", "A 40652-2021")</f>
        <v/>
      </c>
      <c r="Z69">
        <f>HYPERLINK("https://klasma.github.io/Logging_2421/fåglar/A 40652-2021 prioriterade fågelarter.docx", "A 40652-2021")</f>
        <v/>
      </c>
    </row>
    <row r="70" ht="15" customHeight="1">
      <c r="A70" t="inlineStr">
        <is>
          <t>A 3412-2022</t>
        </is>
      </c>
      <c r="B70" s="1" t="n">
        <v>44585</v>
      </c>
      <c r="C70" s="1" t="n">
        <v>45707</v>
      </c>
      <c r="D70" t="inlineStr">
        <is>
          <t>VÄSTERBOTTENS LÄN</t>
        </is>
      </c>
      <c r="E70" t="inlineStr">
        <is>
          <t>STORUMAN</t>
        </is>
      </c>
      <c r="G70" t="n">
        <v>0.7</v>
      </c>
      <c r="H70" t="n">
        <v>2</v>
      </c>
      <c r="I70" t="n">
        <v>1</v>
      </c>
      <c r="J70" t="n">
        <v>1</v>
      </c>
      <c r="K70" t="n">
        <v>0</v>
      </c>
      <c r="L70" t="n">
        <v>0</v>
      </c>
      <c r="M70" t="n">
        <v>0</v>
      </c>
      <c r="N70" t="n">
        <v>0</v>
      </c>
      <c r="O70" t="n">
        <v>1</v>
      </c>
      <c r="P70" t="n">
        <v>0</v>
      </c>
      <c r="Q70" t="n">
        <v>3</v>
      </c>
      <c r="R70" s="2" t="inlineStr">
        <is>
          <t>Garnlav
Spindelblomster
Skogsrör</t>
        </is>
      </c>
      <c r="S70">
        <f>HYPERLINK("https://klasma.github.io/Logging_2421/artfynd/A 3412-2022 artfynd.xlsx", "A 3412-2022")</f>
        <v/>
      </c>
      <c r="T70">
        <f>HYPERLINK("https://klasma.github.io/Logging_2421/kartor/A 3412-2022 karta.png", "A 3412-2022")</f>
        <v/>
      </c>
      <c r="V70">
        <f>HYPERLINK("https://klasma.github.io/Logging_2421/klagomål/A 3412-2022 FSC-klagomål.docx", "A 3412-2022")</f>
        <v/>
      </c>
      <c r="W70">
        <f>HYPERLINK("https://klasma.github.io/Logging_2421/klagomålsmail/A 3412-2022 FSC-klagomål mail.docx", "A 3412-2022")</f>
        <v/>
      </c>
      <c r="X70">
        <f>HYPERLINK("https://klasma.github.io/Logging_2421/tillsyn/A 3412-2022 tillsynsbegäran.docx", "A 3412-2022")</f>
        <v/>
      </c>
      <c r="Y70">
        <f>HYPERLINK("https://klasma.github.io/Logging_2421/tillsynsmail/A 3412-2022 tillsynsbegäran mail.docx", "A 3412-2022")</f>
        <v/>
      </c>
    </row>
    <row r="71" ht="15" customHeight="1">
      <c r="A71" t="inlineStr">
        <is>
          <t>A 20434-2022</t>
        </is>
      </c>
      <c r="B71" s="1" t="n">
        <v>44699</v>
      </c>
      <c r="C71" s="1" t="n">
        <v>45707</v>
      </c>
      <c r="D71" t="inlineStr">
        <is>
          <t>VÄSTERBOTTENS LÄN</t>
        </is>
      </c>
      <c r="E71" t="inlineStr">
        <is>
          <t>STORUMAN</t>
        </is>
      </c>
      <c r="G71" t="n">
        <v>5.6</v>
      </c>
      <c r="H71" t="n">
        <v>3</v>
      </c>
      <c r="I71" t="n">
        <v>0</v>
      </c>
      <c r="J71" t="n">
        <v>2</v>
      </c>
      <c r="K71" t="n">
        <v>1</v>
      </c>
      <c r="L71" t="n">
        <v>0</v>
      </c>
      <c r="M71" t="n">
        <v>0</v>
      </c>
      <c r="N71" t="n">
        <v>0</v>
      </c>
      <c r="O71" t="n">
        <v>3</v>
      </c>
      <c r="P71" t="n">
        <v>1</v>
      </c>
      <c r="Q71" t="n">
        <v>3</v>
      </c>
      <c r="R71" s="2" t="inlineStr">
        <is>
          <t>Knärot
Spillkråka
Tretåig hackspett</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44074-2023</t>
        </is>
      </c>
      <c r="B72" s="1" t="n">
        <v>45188</v>
      </c>
      <c r="C72" s="1" t="n">
        <v>45707</v>
      </c>
      <c r="D72" t="inlineStr">
        <is>
          <t>VÄSTERBOTTENS LÄN</t>
        </is>
      </c>
      <c r="E72" t="inlineStr">
        <is>
          <t>STORUMAN</t>
        </is>
      </c>
      <c r="G72" t="n">
        <v>5.3</v>
      </c>
      <c r="H72" t="n">
        <v>0</v>
      </c>
      <c r="I72" t="n">
        <v>3</v>
      </c>
      <c r="J72" t="n">
        <v>0</v>
      </c>
      <c r="K72" t="n">
        <v>0</v>
      </c>
      <c r="L72" t="n">
        <v>0</v>
      </c>
      <c r="M72" t="n">
        <v>0</v>
      </c>
      <c r="N72" t="n">
        <v>0</v>
      </c>
      <c r="O72" t="n">
        <v>0</v>
      </c>
      <c r="P72" t="n">
        <v>0</v>
      </c>
      <c r="Q72" t="n">
        <v>3</v>
      </c>
      <c r="R72" s="2" t="inlineStr">
        <is>
          <t>Stor aspticka
Svart trolldruva
Tibast</t>
        </is>
      </c>
      <c r="S72">
        <f>HYPERLINK("https://klasma.github.io/Logging_2421/artfynd/A 44074-2023 artfynd.xlsx", "A 44074-2023")</f>
        <v/>
      </c>
      <c r="T72">
        <f>HYPERLINK("https://klasma.github.io/Logging_2421/kartor/A 44074-2023 karta.png", "A 44074-2023")</f>
        <v/>
      </c>
      <c r="V72">
        <f>HYPERLINK("https://klasma.github.io/Logging_2421/klagomål/A 44074-2023 FSC-klagomål.docx", "A 44074-2023")</f>
        <v/>
      </c>
      <c r="W72">
        <f>HYPERLINK("https://klasma.github.io/Logging_2421/klagomålsmail/A 44074-2023 FSC-klagomål mail.docx", "A 44074-2023")</f>
        <v/>
      </c>
      <c r="X72">
        <f>HYPERLINK("https://klasma.github.io/Logging_2421/tillsyn/A 44074-2023 tillsynsbegäran.docx", "A 44074-2023")</f>
        <v/>
      </c>
      <c r="Y72">
        <f>HYPERLINK("https://klasma.github.io/Logging_2421/tillsynsmail/A 44074-2023 tillsynsbegäran mail.docx", "A 44074-2023")</f>
        <v/>
      </c>
    </row>
    <row r="73" ht="15" customHeight="1">
      <c r="A73" t="inlineStr">
        <is>
          <t>A 60880-2023</t>
        </is>
      </c>
      <c r="B73" s="1" t="n">
        <v>45259</v>
      </c>
      <c r="C73" s="1" t="n">
        <v>45707</v>
      </c>
      <c r="D73" t="inlineStr">
        <is>
          <t>VÄSTERBOTTENS LÄN</t>
        </is>
      </c>
      <c r="E73" t="inlineStr">
        <is>
          <t>STORUMAN</t>
        </is>
      </c>
      <c r="G73" t="n">
        <v>2.2</v>
      </c>
      <c r="H73" t="n">
        <v>3</v>
      </c>
      <c r="I73" t="n">
        <v>0</v>
      </c>
      <c r="J73" t="n">
        <v>2</v>
      </c>
      <c r="K73" t="n">
        <v>1</v>
      </c>
      <c r="L73" t="n">
        <v>0</v>
      </c>
      <c r="M73" t="n">
        <v>0</v>
      </c>
      <c r="N73" t="n">
        <v>0</v>
      </c>
      <c r="O73" t="n">
        <v>3</v>
      </c>
      <c r="P73" t="n">
        <v>1</v>
      </c>
      <c r="Q73" t="n">
        <v>3</v>
      </c>
      <c r="R73" s="2" t="inlineStr">
        <is>
          <t>Knärot
Spillkråka
Tretåig hackspett</t>
        </is>
      </c>
      <c r="S73">
        <f>HYPERLINK("https://klasma.github.io/Logging_2421/artfynd/A 60880-2023 artfynd.xlsx", "A 60880-2023")</f>
        <v/>
      </c>
      <c r="T73">
        <f>HYPERLINK("https://klasma.github.io/Logging_2421/kartor/A 60880-2023 karta.png", "A 60880-2023")</f>
        <v/>
      </c>
      <c r="U73">
        <f>HYPERLINK("https://klasma.github.io/Logging_2421/knärot/A 60880-2023 karta knärot.png", "A 60880-2023")</f>
        <v/>
      </c>
      <c r="V73">
        <f>HYPERLINK("https://klasma.github.io/Logging_2421/klagomål/A 60880-2023 FSC-klagomål.docx", "A 60880-2023")</f>
        <v/>
      </c>
      <c r="W73">
        <f>HYPERLINK("https://klasma.github.io/Logging_2421/klagomålsmail/A 60880-2023 FSC-klagomål mail.docx", "A 60880-2023")</f>
        <v/>
      </c>
      <c r="X73">
        <f>HYPERLINK("https://klasma.github.io/Logging_2421/tillsyn/A 60880-2023 tillsynsbegäran.docx", "A 60880-2023")</f>
        <v/>
      </c>
      <c r="Y73">
        <f>HYPERLINK("https://klasma.github.io/Logging_2421/tillsynsmail/A 60880-2023 tillsynsbegäran mail.docx", "A 60880-2023")</f>
        <v/>
      </c>
      <c r="Z73">
        <f>HYPERLINK("https://klasma.github.io/Logging_2421/fåglar/A 60880-2023 prioriterade fågelarter.docx", "A 60880-2023")</f>
        <v/>
      </c>
    </row>
    <row r="74" ht="15" customHeight="1">
      <c r="A74" t="inlineStr">
        <is>
          <t>A 4962-2025</t>
        </is>
      </c>
      <c r="B74" s="1" t="n">
        <v>45690</v>
      </c>
      <c r="C74" s="1" t="n">
        <v>45707</v>
      </c>
      <c r="D74" t="inlineStr">
        <is>
          <t>VÄSTERBOTTENS LÄN</t>
        </is>
      </c>
      <c r="E74" t="inlineStr">
        <is>
          <t>STORUMAN</t>
        </is>
      </c>
      <c r="G74" t="n">
        <v>12.1</v>
      </c>
      <c r="H74" t="n">
        <v>1</v>
      </c>
      <c r="I74" t="n">
        <v>0</v>
      </c>
      <c r="J74" t="n">
        <v>3</v>
      </c>
      <c r="K74" t="n">
        <v>0</v>
      </c>
      <c r="L74" t="n">
        <v>0</v>
      </c>
      <c r="M74" t="n">
        <v>0</v>
      </c>
      <c r="N74" t="n">
        <v>0</v>
      </c>
      <c r="O74" t="n">
        <v>3</v>
      </c>
      <c r="P74" t="n">
        <v>0</v>
      </c>
      <c r="Q74" t="n">
        <v>3</v>
      </c>
      <c r="R74" s="2" t="inlineStr">
        <is>
          <t>Gammelgransskål
Harticka
Tretåig hackspett</t>
        </is>
      </c>
      <c r="S74">
        <f>HYPERLINK("https://klasma.github.io/Logging_2421/artfynd/A 4962-2025 artfynd.xlsx", "A 4962-2025")</f>
        <v/>
      </c>
      <c r="T74">
        <f>HYPERLINK("https://klasma.github.io/Logging_2421/kartor/A 4962-2025 karta.png", "A 4962-2025")</f>
        <v/>
      </c>
      <c r="V74">
        <f>HYPERLINK("https://klasma.github.io/Logging_2421/klagomål/A 4962-2025 FSC-klagomål.docx", "A 4962-2025")</f>
        <v/>
      </c>
      <c r="W74">
        <f>HYPERLINK("https://klasma.github.io/Logging_2421/klagomålsmail/A 4962-2025 FSC-klagomål mail.docx", "A 4962-2025")</f>
        <v/>
      </c>
      <c r="X74">
        <f>HYPERLINK("https://klasma.github.io/Logging_2421/tillsyn/A 4962-2025 tillsynsbegäran.docx", "A 4962-2025")</f>
        <v/>
      </c>
      <c r="Y74">
        <f>HYPERLINK("https://klasma.github.io/Logging_2421/tillsynsmail/A 4962-2025 tillsynsbegäran mail.docx", "A 4962-2025")</f>
        <v/>
      </c>
      <c r="Z74">
        <f>HYPERLINK("https://klasma.github.io/Logging_2421/fåglar/A 4962-2025 prioriterade fågelarter.docx", "A 4962-2025")</f>
        <v/>
      </c>
    </row>
    <row r="75" ht="15" customHeight="1">
      <c r="A75" t="inlineStr">
        <is>
          <t>A 42000-2019</t>
        </is>
      </c>
      <c r="B75" s="1" t="n">
        <v>43700</v>
      </c>
      <c r="C75" s="1" t="n">
        <v>45707</v>
      </c>
      <c r="D75" t="inlineStr">
        <is>
          <t>VÄSTERBOTTENS LÄN</t>
        </is>
      </c>
      <c r="E75" t="inlineStr">
        <is>
          <t>STORUMAN</t>
        </is>
      </c>
      <c r="F75" t="inlineStr">
        <is>
          <t>Holmen skog AB</t>
        </is>
      </c>
      <c r="G75" t="n">
        <v>18.4</v>
      </c>
      <c r="H75" t="n">
        <v>0</v>
      </c>
      <c r="I75" t="n">
        <v>0</v>
      </c>
      <c r="J75" t="n">
        <v>0</v>
      </c>
      <c r="K75" t="n">
        <v>2</v>
      </c>
      <c r="L75" t="n">
        <v>0</v>
      </c>
      <c r="M75" t="n">
        <v>0</v>
      </c>
      <c r="N75" t="n">
        <v>0</v>
      </c>
      <c r="O75" t="n">
        <v>2</v>
      </c>
      <c r="P75" t="n">
        <v>2</v>
      </c>
      <c r="Q75" t="n">
        <v>2</v>
      </c>
      <c r="R75" s="2" t="inlineStr">
        <is>
          <t>Liten sotlav
Ostticka</t>
        </is>
      </c>
      <c r="S75">
        <f>HYPERLINK("https://klasma.github.io/Logging_2421/artfynd/A 42000-2019 artfynd.xlsx", "A 42000-2019")</f>
        <v/>
      </c>
      <c r="T75">
        <f>HYPERLINK("https://klasma.github.io/Logging_2421/kartor/A 42000-2019 karta.png", "A 42000-2019")</f>
        <v/>
      </c>
      <c r="V75">
        <f>HYPERLINK("https://klasma.github.io/Logging_2421/klagomål/A 42000-2019 FSC-klagomål.docx", "A 42000-2019")</f>
        <v/>
      </c>
      <c r="W75">
        <f>HYPERLINK("https://klasma.github.io/Logging_2421/klagomålsmail/A 42000-2019 FSC-klagomål mail.docx", "A 42000-2019")</f>
        <v/>
      </c>
      <c r="X75">
        <f>HYPERLINK("https://klasma.github.io/Logging_2421/tillsyn/A 42000-2019 tillsynsbegäran.docx", "A 42000-2019")</f>
        <v/>
      </c>
      <c r="Y75">
        <f>HYPERLINK("https://klasma.github.io/Logging_2421/tillsynsmail/A 42000-2019 tillsynsbegäran mail.docx", "A 42000-2019")</f>
        <v/>
      </c>
    </row>
    <row r="76" ht="15" customHeight="1">
      <c r="A76" t="inlineStr">
        <is>
          <t>A 34276-2020</t>
        </is>
      </c>
      <c r="B76" s="1" t="n">
        <v>44029</v>
      </c>
      <c r="C76" s="1" t="n">
        <v>45707</v>
      </c>
      <c r="D76" t="inlineStr">
        <is>
          <t>VÄSTERBOTTENS LÄN</t>
        </is>
      </c>
      <c r="E76" t="inlineStr">
        <is>
          <t>STORUMAN</t>
        </is>
      </c>
      <c r="F76" t="inlineStr">
        <is>
          <t>SCA</t>
        </is>
      </c>
      <c r="G76" t="n">
        <v>3.5</v>
      </c>
      <c r="H76" t="n">
        <v>1</v>
      </c>
      <c r="I76" t="n">
        <v>0</v>
      </c>
      <c r="J76" t="n">
        <v>1</v>
      </c>
      <c r="K76" t="n">
        <v>1</v>
      </c>
      <c r="L76" t="n">
        <v>0</v>
      </c>
      <c r="M76" t="n">
        <v>0</v>
      </c>
      <c r="N76" t="n">
        <v>0</v>
      </c>
      <c r="O76" t="n">
        <v>2</v>
      </c>
      <c r="P76" t="n">
        <v>1</v>
      </c>
      <c r="Q76" t="n">
        <v>2</v>
      </c>
      <c r="R76" s="2" t="inlineStr">
        <is>
          <t>Goliatmusseron
Duvhök</t>
        </is>
      </c>
      <c r="S76">
        <f>HYPERLINK("https://klasma.github.io/Logging_2421/artfynd/A 34276-2020 artfynd.xlsx", "A 34276-2020")</f>
        <v/>
      </c>
      <c r="T76">
        <f>HYPERLINK("https://klasma.github.io/Logging_2421/kartor/A 34276-2020 karta.png", "A 34276-2020")</f>
        <v/>
      </c>
      <c r="V76">
        <f>HYPERLINK("https://klasma.github.io/Logging_2421/klagomål/A 34276-2020 FSC-klagomål.docx", "A 34276-2020")</f>
        <v/>
      </c>
      <c r="W76">
        <f>HYPERLINK("https://klasma.github.io/Logging_2421/klagomålsmail/A 34276-2020 FSC-klagomål mail.docx", "A 34276-2020")</f>
        <v/>
      </c>
      <c r="X76">
        <f>HYPERLINK("https://klasma.github.io/Logging_2421/tillsyn/A 34276-2020 tillsynsbegäran.docx", "A 34276-2020")</f>
        <v/>
      </c>
      <c r="Y76">
        <f>HYPERLINK("https://klasma.github.io/Logging_2421/tillsynsmail/A 34276-2020 tillsynsbegäran mail.docx", "A 34276-2020")</f>
        <v/>
      </c>
      <c r="Z76">
        <f>HYPERLINK("https://klasma.github.io/Logging_2421/fåglar/A 34276-2020 prioriterade fågelarter.docx", "A 34276-2020")</f>
        <v/>
      </c>
    </row>
    <row r="77" ht="15" customHeight="1">
      <c r="A77" t="inlineStr">
        <is>
          <t>A 68827-2020</t>
        </is>
      </c>
      <c r="B77" s="1" t="n">
        <v>44187</v>
      </c>
      <c r="C77" s="1" t="n">
        <v>45707</v>
      </c>
      <c r="D77" t="inlineStr">
        <is>
          <t>VÄSTERBOTTENS LÄN</t>
        </is>
      </c>
      <c r="E77" t="inlineStr">
        <is>
          <t>STORUMAN</t>
        </is>
      </c>
      <c r="G77" t="n">
        <v>5.1</v>
      </c>
      <c r="H77" t="n">
        <v>0</v>
      </c>
      <c r="I77" t="n">
        <v>0</v>
      </c>
      <c r="J77" t="n">
        <v>2</v>
      </c>
      <c r="K77" t="n">
        <v>0</v>
      </c>
      <c r="L77" t="n">
        <v>0</v>
      </c>
      <c r="M77" t="n">
        <v>0</v>
      </c>
      <c r="N77" t="n">
        <v>0</v>
      </c>
      <c r="O77" t="n">
        <v>2</v>
      </c>
      <c r="P77" t="n">
        <v>0</v>
      </c>
      <c r="Q77" t="n">
        <v>2</v>
      </c>
      <c r="R77" s="2" t="inlineStr">
        <is>
          <t>Garnlav
Lunglav</t>
        </is>
      </c>
      <c r="S77">
        <f>HYPERLINK("https://klasma.github.io/Logging_2421/artfynd/A 68827-2020 artfynd.xlsx", "A 68827-2020")</f>
        <v/>
      </c>
      <c r="T77">
        <f>HYPERLINK("https://klasma.github.io/Logging_2421/kartor/A 68827-2020 karta.png", "A 68827-2020")</f>
        <v/>
      </c>
      <c r="V77">
        <f>HYPERLINK("https://klasma.github.io/Logging_2421/klagomål/A 68827-2020 FSC-klagomål.docx", "A 68827-2020")</f>
        <v/>
      </c>
      <c r="W77">
        <f>HYPERLINK("https://klasma.github.io/Logging_2421/klagomålsmail/A 68827-2020 FSC-klagomål mail.docx", "A 68827-2020")</f>
        <v/>
      </c>
      <c r="X77">
        <f>HYPERLINK("https://klasma.github.io/Logging_2421/tillsyn/A 68827-2020 tillsynsbegäran.docx", "A 68827-2020")</f>
        <v/>
      </c>
      <c r="Y77">
        <f>HYPERLINK("https://klasma.github.io/Logging_2421/tillsynsmail/A 68827-2020 tillsynsbegäran mail.docx", "A 68827-2020")</f>
        <v/>
      </c>
    </row>
    <row r="78" ht="15" customHeight="1">
      <c r="A78" t="inlineStr">
        <is>
          <t>A 12321-2021</t>
        </is>
      </c>
      <c r="B78" s="1" t="n">
        <v>44266</v>
      </c>
      <c r="C78" s="1" t="n">
        <v>45707</v>
      </c>
      <c r="D78" t="inlineStr">
        <is>
          <t>VÄSTERBOTTENS LÄN</t>
        </is>
      </c>
      <c r="E78" t="inlineStr">
        <is>
          <t>STORUMAN</t>
        </is>
      </c>
      <c r="G78" t="n">
        <v>8</v>
      </c>
      <c r="H78" t="n">
        <v>0</v>
      </c>
      <c r="I78" t="n">
        <v>1</v>
      </c>
      <c r="J78" t="n">
        <v>1</v>
      </c>
      <c r="K78" t="n">
        <v>0</v>
      </c>
      <c r="L78" t="n">
        <v>0</v>
      </c>
      <c r="M78" t="n">
        <v>0</v>
      </c>
      <c r="N78" t="n">
        <v>0</v>
      </c>
      <c r="O78" t="n">
        <v>1</v>
      </c>
      <c r="P78" t="n">
        <v>0</v>
      </c>
      <c r="Q78" t="n">
        <v>2</v>
      </c>
      <c r="R78" s="2" t="inlineStr">
        <is>
          <t>Gammelgransskål
Svavelriska</t>
        </is>
      </c>
      <c r="S78">
        <f>HYPERLINK("https://klasma.github.io/Logging_2421/artfynd/A 12321-2021 artfynd.xlsx", "A 12321-2021")</f>
        <v/>
      </c>
      <c r="T78">
        <f>HYPERLINK("https://klasma.github.io/Logging_2421/kartor/A 12321-2021 karta.png", "A 12321-2021")</f>
        <v/>
      </c>
      <c r="V78">
        <f>HYPERLINK("https://klasma.github.io/Logging_2421/klagomål/A 12321-2021 FSC-klagomål.docx", "A 12321-2021")</f>
        <v/>
      </c>
      <c r="W78">
        <f>HYPERLINK("https://klasma.github.io/Logging_2421/klagomålsmail/A 12321-2021 FSC-klagomål mail.docx", "A 12321-2021")</f>
        <v/>
      </c>
      <c r="X78">
        <f>HYPERLINK("https://klasma.github.io/Logging_2421/tillsyn/A 12321-2021 tillsynsbegäran.docx", "A 12321-2021")</f>
        <v/>
      </c>
      <c r="Y78">
        <f>HYPERLINK("https://klasma.github.io/Logging_2421/tillsynsmail/A 12321-2021 tillsynsbegäran mail.docx", "A 12321-2021")</f>
        <v/>
      </c>
    </row>
    <row r="79" ht="15" customHeight="1">
      <c r="A79" t="inlineStr">
        <is>
          <t>A 29352-2021</t>
        </is>
      </c>
      <c r="B79" s="1" t="n">
        <v>44361</v>
      </c>
      <c r="C79" s="1" t="n">
        <v>45707</v>
      </c>
      <c r="D79" t="inlineStr">
        <is>
          <t>VÄSTERBOTTENS LÄN</t>
        </is>
      </c>
      <c r="E79" t="inlineStr">
        <is>
          <t>STORUMAN</t>
        </is>
      </c>
      <c r="F79" t="inlineStr">
        <is>
          <t>Sveaskog</t>
        </is>
      </c>
      <c r="G79" t="n">
        <v>5.4</v>
      </c>
      <c r="H79" t="n">
        <v>0</v>
      </c>
      <c r="I79" t="n">
        <v>1</v>
      </c>
      <c r="J79" t="n">
        <v>1</v>
      </c>
      <c r="K79" t="n">
        <v>0</v>
      </c>
      <c r="L79" t="n">
        <v>0</v>
      </c>
      <c r="M79" t="n">
        <v>0</v>
      </c>
      <c r="N79" t="n">
        <v>0</v>
      </c>
      <c r="O79" t="n">
        <v>1</v>
      </c>
      <c r="P79" t="n">
        <v>0</v>
      </c>
      <c r="Q79" t="n">
        <v>2</v>
      </c>
      <c r="R79" s="2" t="inlineStr">
        <is>
          <t>Lunglav
Stuplav</t>
        </is>
      </c>
      <c r="S79">
        <f>HYPERLINK("https://klasma.github.io/Logging_2421/artfynd/A 29352-2021 artfynd.xlsx", "A 29352-2021")</f>
        <v/>
      </c>
      <c r="T79">
        <f>HYPERLINK("https://klasma.github.io/Logging_2421/kartor/A 29352-2021 karta.png", "A 29352-2021")</f>
        <v/>
      </c>
      <c r="V79">
        <f>HYPERLINK("https://klasma.github.io/Logging_2421/klagomål/A 29352-2021 FSC-klagomål.docx", "A 29352-2021")</f>
        <v/>
      </c>
      <c r="W79">
        <f>HYPERLINK("https://klasma.github.io/Logging_2421/klagomålsmail/A 29352-2021 FSC-klagomål mail.docx", "A 29352-2021")</f>
        <v/>
      </c>
      <c r="X79">
        <f>HYPERLINK("https://klasma.github.io/Logging_2421/tillsyn/A 29352-2021 tillsynsbegäran.docx", "A 29352-2021")</f>
        <v/>
      </c>
      <c r="Y79">
        <f>HYPERLINK("https://klasma.github.io/Logging_2421/tillsynsmail/A 29352-2021 tillsynsbegäran mail.docx", "A 29352-2021")</f>
        <v/>
      </c>
    </row>
    <row r="80" ht="15" customHeight="1">
      <c r="A80" t="inlineStr">
        <is>
          <t>A 40939-2021</t>
        </is>
      </c>
      <c r="B80" s="1" t="n">
        <v>44421</v>
      </c>
      <c r="C80" s="1" t="n">
        <v>45707</v>
      </c>
      <c r="D80" t="inlineStr">
        <is>
          <t>VÄSTERBOTTENS LÄN</t>
        </is>
      </c>
      <c r="E80" t="inlineStr">
        <is>
          <t>STORUMAN</t>
        </is>
      </c>
      <c r="G80" t="n">
        <v>4.8</v>
      </c>
      <c r="H80" t="n">
        <v>1</v>
      </c>
      <c r="I80" t="n">
        <v>0</v>
      </c>
      <c r="J80" t="n">
        <v>1</v>
      </c>
      <c r="K80" t="n">
        <v>1</v>
      </c>
      <c r="L80" t="n">
        <v>0</v>
      </c>
      <c r="M80" t="n">
        <v>0</v>
      </c>
      <c r="N80" t="n">
        <v>0</v>
      </c>
      <c r="O80" t="n">
        <v>2</v>
      </c>
      <c r="P80" t="n">
        <v>1</v>
      </c>
      <c r="Q80" t="n">
        <v>2</v>
      </c>
      <c r="R80" s="2" t="inlineStr">
        <is>
          <t>Knärot
Lunglav</t>
        </is>
      </c>
      <c r="S80">
        <f>HYPERLINK("https://klasma.github.io/Logging_2421/artfynd/A 40939-2021 artfynd.xlsx", "A 40939-2021")</f>
        <v/>
      </c>
      <c r="T80">
        <f>HYPERLINK("https://klasma.github.io/Logging_2421/kartor/A 40939-2021 karta.png", "A 40939-2021")</f>
        <v/>
      </c>
      <c r="U80">
        <f>HYPERLINK("https://klasma.github.io/Logging_2421/knärot/A 40939-2021 karta knärot.png", "A 40939-2021")</f>
        <v/>
      </c>
      <c r="V80">
        <f>HYPERLINK("https://klasma.github.io/Logging_2421/klagomål/A 40939-2021 FSC-klagomål.docx", "A 40939-2021")</f>
        <v/>
      </c>
      <c r="W80">
        <f>HYPERLINK("https://klasma.github.io/Logging_2421/klagomålsmail/A 40939-2021 FSC-klagomål mail.docx", "A 40939-2021")</f>
        <v/>
      </c>
      <c r="X80">
        <f>HYPERLINK("https://klasma.github.io/Logging_2421/tillsyn/A 40939-2021 tillsynsbegäran.docx", "A 40939-2021")</f>
        <v/>
      </c>
      <c r="Y80">
        <f>HYPERLINK("https://klasma.github.io/Logging_2421/tillsynsmail/A 40939-2021 tillsynsbegäran mail.docx", "A 40939-2021")</f>
        <v/>
      </c>
    </row>
    <row r="81" ht="15" customHeight="1">
      <c r="A81" t="inlineStr">
        <is>
          <t>A 14070-2022</t>
        </is>
      </c>
      <c r="B81" s="1" t="n">
        <v>44650</v>
      </c>
      <c r="C81" s="1" t="n">
        <v>45707</v>
      </c>
      <c r="D81" t="inlineStr">
        <is>
          <t>VÄSTERBOTTENS LÄN</t>
        </is>
      </c>
      <c r="E81" t="inlineStr">
        <is>
          <t>STORUMAN</t>
        </is>
      </c>
      <c r="F81" t="inlineStr">
        <is>
          <t>Övriga statliga verk och myndigheter</t>
        </is>
      </c>
      <c r="G81" t="n">
        <v>14.1</v>
      </c>
      <c r="H81" t="n">
        <v>1</v>
      </c>
      <c r="I81" t="n">
        <v>0</v>
      </c>
      <c r="J81" t="n">
        <v>2</v>
      </c>
      <c r="K81" t="n">
        <v>0</v>
      </c>
      <c r="L81" t="n">
        <v>0</v>
      </c>
      <c r="M81" t="n">
        <v>0</v>
      </c>
      <c r="N81" t="n">
        <v>0</v>
      </c>
      <c r="O81" t="n">
        <v>2</v>
      </c>
      <c r="P81" t="n">
        <v>0</v>
      </c>
      <c r="Q81" t="n">
        <v>2</v>
      </c>
      <c r="R81" s="2" t="inlineStr">
        <is>
          <t>Granticka
Järpe</t>
        </is>
      </c>
      <c r="S81">
        <f>HYPERLINK("https://klasma.github.io/Logging_2421/artfynd/A 14070-2022 artfynd.xlsx", "A 14070-2022")</f>
        <v/>
      </c>
      <c r="T81">
        <f>HYPERLINK("https://klasma.github.io/Logging_2421/kartor/A 14070-2022 karta.png", "A 14070-2022")</f>
        <v/>
      </c>
      <c r="V81">
        <f>HYPERLINK("https://klasma.github.io/Logging_2421/klagomål/A 14070-2022 FSC-klagomål.docx", "A 14070-2022")</f>
        <v/>
      </c>
      <c r="W81">
        <f>HYPERLINK("https://klasma.github.io/Logging_2421/klagomålsmail/A 14070-2022 FSC-klagomål mail.docx", "A 14070-2022")</f>
        <v/>
      </c>
      <c r="X81">
        <f>HYPERLINK("https://klasma.github.io/Logging_2421/tillsyn/A 14070-2022 tillsynsbegäran.docx", "A 14070-2022")</f>
        <v/>
      </c>
      <c r="Y81">
        <f>HYPERLINK("https://klasma.github.io/Logging_2421/tillsynsmail/A 14070-2022 tillsynsbegäran mail.docx", "A 14070-2022")</f>
        <v/>
      </c>
      <c r="Z81">
        <f>HYPERLINK("https://klasma.github.io/Logging_2421/fåglar/A 14070-2022 prioriterade fågelarter.docx", "A 14070-2022")</f>
        <v/>
      </c>
    </row>
    <row r="82" ht="15" customHeight="1">
      <c r="A82" t="inlineStr">
        <is>
          <t>A 25524-2022</t>
        </is>
      </c>
      <c r="B82" s="1" t="n">
        <v>44732</v>
      </c>
      <c r="C82" s="1" t="n">
        <v>45707</v>
      </c>
      <c r="D82" t="inlineStr">
        <is>
          <t>VÄSTERBOTTENS LÄN</t>
        </is>
      </c>
      <c r="E82" t="inlineStr">
        <is>
          <t>STORUMAN</t>
        </is>
      </c>
      <c r="F82" t="inlineStr">
        <is>
          <t>Sveaskog</t>
        </is>
      </c>
      <c r="G82" t="n">
        <v>3.8</v>
      </c>
      <c r="H82" t="n">
        <v>0</v>
      </c>
      <c r="I82" t="n">
        <v>0</v>
      </c>
      <c r="J82" t="n">
        <v>1</v>
      </c>
      <c r="K82" t="n">
        <v>1</v>
      </c>
      <c r="L82" t="n">
        <v>0</v>
      </c>
      <c r="M82" t="n">
        <v>0</v>
      </c>
      <c r="N82" t="n">
        <v>0</v>
      </c>
      <c r="O82" t="n">
        <v>2</v>
      </c>
      <c r="P82" t="n">
        <v>1</v>
      </c>
      <c r="Q82" t="n">
        <v>2</v>
      </c>
      <c r="R82" s="2" t="inlineStr">
        <is>
          <t>Grantickeporing
Granticka</t>
        </is>
      </c>
      <c r="S82">
        <f>HYPERLINK("https://klasma.github.io/Logging_2421/artfynd/A 25524-2022 artfynd.xlsx", "A 25524-2022")</f>
        <v/>
      </c>
      <c r="T82">
        <f>HYPERLINK("https://klasma.github.io/Logging_2421/kartor/A 25524-2022 karta.png", "A 25524-2022")</f>
        <v/>
      </c>
      <c r="V82">
        <f>HYPERLINK("https://klasma.github.io/Logging_2421/klagomål/A 25524-2022 FSC-klagomål.docx", "A 25524-2022")</f>
        <v/>
      </c>
      <c r="W82">
        <f>HYPERLINK("https://klasma.github.io/Logging_2421/klagomålsmail/A 25524-2022 FSC-klagomål mail.docx", "A 25524-2022")</f>
        <v/>
      </c>
      <c r="X82">
        <f>HYPERLINK("https://klasma.github.io/Logging_2421/tillsyn/A 25524-2022 tillsynsbegäran.docx", "A 25524-2022")</f>
        <v/>
      </c>
      <c r="Y82">
        <f>HYPERLINK("https://klasma.github.io/Logging_2421/tillsynsmail/A 25524-2022 tillsynsbegäran mail.docx", "A 25524-2022")</f>
        <v/>
      </c>
    </row>
    <row r="83" ht="15" customHeight="1">
      <c r="A83" t="inlineStr">
        <is>
          <t>A 39237-2022</t>
        </is>
      </c>
      <c r="B83" s="1" t="n">
        <v>44817</v>
      </c>
      <c r="C83" s="1" t="n">
        <v>45707</v>
      </c>
      <c r="D83" t="inlineStr">
        <is>
          <t>VÄSTERBOTTENS LÄN</t>
        </is>
      </c>
      <c r="E83" t="inlineStr">
        <is>
          <t>STORUMAN</t>
        </is>
      </c>
      <c r="F83" t="inlineStr">
        <is>
          <t>Sveaskog</t>
        </is>
      </c>
      <c r="G83" t="n">
        <v>1.1</v>
      </c>
      <c r="H83" t="n">
        <v>1</v>
      </c>
      <c r="I83" t="n">
        <v>1</v>
      </c>
      <c r="J83" t="n">
        <v>0</v>
      </c>
      <c r="K83" t="n">
        <v>0</v>
      </c>
      <c r="L83" t="n">
        <v>0</v>
      </c>
      <c r="M83" t="n">
        <v>0</v>
      </c>
      <c r="N83" t="n">
        <v>0</v>
      </c>
      <c r="O83" t="n">
        <v>0</v>
      </c>
      <c r="P83" t="n">
        <v>0</v>
      </c>
      <c r="Q83" t="n">
        <v>2</v>
      </c>
      <c r="R83" s="2" t="inlineStr">
        <is>
          <t>Skarp dropptaggsvamp
Lavskrika</t>
        </is>
      </c>
      <c r="S83">
        <f>HYPERLINK("https://klasma.github.io/Logging_2421/artfynd/A 39237-2022 artfynd.xlsx", "A 39237-2022")</f>
        <v/>
      </c>
      <c r="T83">
        <f>HYPERLINK("https://klasma.github.io/Logging_2421/kartor/A 39237-2022 karta.png", "A 39237-2022")</f>
        <v/>
      </c>
      <c r="V83">
        <f>HYPERLINK("https://klasma.github.io/Logging_2421/klagomål/A 39237-2022 FSC-klagomål.docx", "A 39237-2022")</f>
        <v/>
      </c>
      <c r="W83">
        <f>HYPERLINK("https://klasma.github.io/Logging_2421/klagomålsmail/A 39237-2022 FSC-klagomål mail.docx", "A 39237-2022")</f>
        <v/>
      </c>
      <c r="X83">
        <f>HYPERLINK("https://klasma.github.io/Logging_2421/tillsyn/A 39237-2022 tillsynsbegäran.docx", "A 39237-2022")</f>
        <v/>
      </c>
      <c r="Y83">
        <f>HYPERLINK("https://klasma.github.io/Logging_2421/tillsynsmail/A 39237-2022 tillsynsbegäran mail.docx", "A 39237-2022")</f>
        <v/>
      </c>
      <c r="Z83">
        <f>HYPERLINK("https://klasma.github.io/Logging_2421/fåglar/A 39237-2022 prioriterade fågelarter.docx", "A 39237-2022")</f>
        <v/>
      </c>
    </row>
    <row r="84" ht="15" customHeight="1">
      <c r="A84" t="inlineStr">
        <is>
          <t>A 3893-2023</t>
        </is>
      </c>
      <c r="B84" s="1" t="n">
        <v>44951</v>
      </c>
      <c r="C84" s="1" t="n">
        <v>45707</v>
      </c>
      <c r="D84" t="inlineStr">
        <is>
          <t>VÄSTERBOTTENS LÄN</t>
        </is>
      </c>
      <c r="E84" t="inlineStr">
        <is>
          <t>STORUMAN</t>
        </is>
      </c>
      <c r="F84" t="inlineStr">
        <is>
          <t>SCA</t>
        </is>
      </c>
      <c r="G84" t="n">
        <v>2.1</v>
      </c>
      <c r="H84" t="n">
        <v>0</v>
      </c>
      <c r="I84" t="n">
        <v>1</v>
      </c>
      <c r="J84" t="n">
        <v>1</v>
      </c>
      <c r="K84" t="n">
        <v>0</v>
      </c>
      <c r="L84" t="n">
        <v>0</v>
      </c>
      <c r="M84" t="n">
        <v>0</v>
      </c>
      <c r="N84" t="n">
        <v>0</v>
      </c>
      <c r="O84" t="n">
        <v>1</v>
      </c>
      <c r="P84" t="n">
        <v>0</v>
      </c>
      <c r="Q84" t="n">
        <v>2</v>
      </c>
      <c r="R84" s="2" t="inlineStr">
        <is>
          <t>Talltaggsvamp
Skarp dropptaggsvamp</t>
        </is>
      </c>
      <c r="S84">
        <f>HYPERLINK("https://klasma.github.io/Logging_2421/artfynd/A 3893-2023 artfynd.xlsx", "A 3893-2023")</f>
        <v/>
      </c>
      <c r="T84">
        <f>HYPERLINK("https://klasma.github.io/Logging_2421/kartor/A 3893-2023 karta.png", "A 3893-2023")</f>
        <v/>
      </c>
      <c r="V84">
        <f>HYPERLINK("https://klasma.github.io/Logging_2421/klagomål/A 3893-2023 FSC-klagomål.docx", "A 3893-2023")</f>
        <v/>
      </c>
      <c r="W84">
        <f>HYPERLINK("https://klasma.github.io/Logging_2421/klagomålsmail/A 3893-2023 FSC-klagomål mail.docx", "A 3893-2023")</f>
        <v/>
      </c>
      <c r="X84">
        <f>HYPERLINK("https://klasma.github.io/Logging_2421/tillsyn/A 3893-2023 tillsynsbegäran.docx", "A 3893-2023")</f>
        <v/>
      </c>
      <c r="Y84">
        <f>HYPERLINK("https://klasma.github.io/Logging_2421/tillsynsmail/A 3893-2023 tillsynsbegäran mail.docx", "A 3893-2023")</f>
        <v/>
      </c>
    </row>
    <row r="85" ht="15" customHeight="1">
      <c r="A85" t="inlineStr">
        <is>
          <t>A 5450-2023</t>
        </is>
      </c>
      <c r="B85" s="1" t="n">
        <v>44959</v>
      </c>
      <c r="C85" s="1" t="n">
        <v>45707</v>
      </c>
      <c r="D85" t="inlineStr">
        <is>
          <t>VÄSTERBOTTENS LÄN</t>
        </is>
      </c>
      <c r="E85" t="inlineStr">
        <is>
          <t>STORUMAN</t>
        </is>
      </c>
      <c r="F85" t="inlineStr">
        <is>
          <t>SCA</t>
        </is>
      </c>
      <c r="G85" t="n">
        <v>8.4</v>
      </c>
      <c r="H85" t="n">
        <v>2</v>
      </c>
      <c r="I85" t="n">
        <v>0</v>
      </c>
      <c r="J85" t="n">
        <v>1</v>
      </c>
      <c r="K85" t="n">
        <v>1</v>
      </c>
      <c r="L85" t="n">
        <v>0</v>
      </c>
      <c r="M85" t="n">
        <v>0</v>
      </c>
      <c r="N85" t="n">
        <v>0</v>
      </c>
      <c r="O85" t="n">
        <v>2</v>
      </c>
      <c r="P85" t="n">
        <v>1</v>
      </c>
      <c r="Q85" t="n">
        <v>2</v>
      </c>
      <c r="R85" s="2" t="inlineStr">
        <is>
          <t>Knärot
Tretåig hackspett</t>
        </is>
      </c>
      <c r="S85">
        <f>HYPERLINK("https://klasma.github.io/Logging_2421/artfynd/A 5450-2023 artfynd.xlsx", "A 5450-2023")</f>
        <v/>
      </c>
      <c r="T85">
        <f>HYPERLINK("https://klasma.github.io/Logging_2421/kartor/A 5450-2023 karta.png", "A 5450-2023")</f>
        <v/>
      </c>
      <c r="U85">
        <f>HYPERLINK("https://klasma.github.io/Logging_2421/knärot/A 5450-2023 karta knärot.png", "A 5450-2023")</f>
        <v/>
      </c>
      <c r="V85">
        <f>HYPERLINK("https://klasma.github.io/Logging_2421/klagomål/A 5450-2023 FSC-klagomål.docx", "A 5450-2023")</f>
        <v/>
      </c>
      <c r="W85">
        <f>HYPERLINK("https://klasma.github.io/Logging_2421/klagomålsmail/A 5450-2023 FSC-klagomål mail.docx", "A 5450-2023")</f>
        <v/>
      </c>
      <c r="X85">
        <f>HYPERLINK("https://klasma.github.io/Logging_2421/tillsyn/A 5450-2023 tillsynsbegäran.docx", "A 5450-2023")</f>
        <v/>
      </c>
      <c r="Y85">
        <f>HYPERLINK("https://klasma.github.io/Logging_2421/tillsynsmail/A 5450-2023 tillsynsbegäran mail.docx", "A 5450-2023")</f>
        <v/>
      </c>
      <c r="Z85">
        <f>HYPERLINK("https://klasma.github.io/Logging_2421/fåglar/A 5450-2023 prioriterade fågelarter.docx", "A 5450-2023")</f>
        <v/>
      </c>
    </row>
    <row r="86" ht="15" customHeight="1">
      <c r="A86" t="inlineStr">
        <is>
          <t>A 34892-2024</t>
        </is>
      </c>
      <c r="B86" s="1" t="n">
        <v>45527</v>
      </c>
      <c r="C86" s="1" t="n">
        <v>45707</v>
      </c>
      <c r="D86" t="inlineStr">
        <is>
          <t>VÄSTERBOTTENS LÄN</t>
        </is>
      </c>
      <c r="E86" t="inlineStr">
        <is>
          <t>STORUMAN</t>
        </is>
      </c>
      <c r="F86" t="inlineStr">
        <is>
          <t>SCA</t>
        </is>
      </c>
      <c r="G86" t="n">
        <v>5.7</v>
      </c>
      <c r="H86" t="n">
        <v>2</v>
      </c>
      <c r="I86" t="n">
        <v>2</v>
      </c>
      <c r="J86" t="n">
        <v>0</v>
      </c>
      <c r="K86" t="n">
        <v>0</v>
      </c>
      <c r="L86" t="n">
        <v>0</v>
      </c>
      <c r="M86" t="n">
        <v>0</v>
      </c>
      <c r="N86" t="n">
        <v>0</v>
      </c>
      <c r="O86" t="n">
        <v>0</v>
      </c>
      <c r="P86" t="n">
        <v>0</v>
      </c>
      <c r="Q86" t="n">
        <v>2</v>
      </c>
      <c r="R86" s="2" t="inlineStr">
        <is>
          <t>Plattlummer
Spindelblomster</t>
        </is>
      </c>
      <c r="S86">
        <f>HYPERLINK("https://klasma.github.io/Logging_2421/artfynd/A 34892-2024 artfynd.xlsx", "A 34892-2024")</f>
        <v/>
      </c>
      <c r="T86">
        <f>HYPERLINK("https://klasma.github.io/Logging_2421/kartor/A 34892-2024 karta.png", "A 34892-2024")</f>
        <v/>
      </c>
      <c r="U86">
        <f>HYPERLINK("https://klasma.github.io/Logging_2421/knärot/A 34892-2024 karta knärot.png", "A 34892-2024")</f>
        <v/>
      </c>
      <c r="V86">
        <f>HYPERLINK("https://klasma.github.io/Logging_2421/klagomål/A 34892-2024 FSC-klagomål.docx", "A 34892-2024")</f>
        <v/>
      </c>
      <c r="W86">
        <f>HYPERLINK("https://klasma.github.io/Logging_2421/klagomålsmail/A 34892-2024 FSC-klagomål mail.docx", "A 34892-2024")</f>
        <v/>
      </c>
      <c r="X86">
        <f>HYPERLINK("https://klasma.github.io/Logging_2421/tillsyn/A 34892-2024 tillsynsbegäran.docx", "A 34892-2024")</f>
        <v/>
      </c>
      <c r="Y86">
        <f>HYPERLINK("https://klasma.github.io/Logging_2421/tillsynsmail/A 34892-2024 tillsynsbegäran mail.docx", "A 34892-2024")</f>
        <v/>
      </c>
    </row>
    <row r="87" ht="15" customHeight="1">
      <c r="A87" t="inlineStr">
        <is>
          <t>A 56907-2019</t>
        </is>
      </c>
      <c r="B87" s="1" t="n">
        <v>43766</v>
      </c>
      <c r="C87" s="1" t="n">
        <v>45707</v>
      </c>
      <c r="D87" t="inlineStr">
        <is>
          <t>VÄSTERBOTTENS LÄN</t>
        </is>
      </c>
      <c r="E87" t="inlineStr">
        <is>
          <t>STORUMAN</t>
        </is>
      </c>
      <c r="F87" t="inlineStr">
        <is>
          <t>Sveaskog</t>
        </is>
      </c>
      <c r="G87" t="n">
        <v>2</v>
      </c>
      <c r="H87" t="n">
        <v>0</v>
      </c>
      <c r="I87" t="n">
        <v>1</v>
      </c>
      <c r="J87" t="n">
        <v>0</v>
      </c>
      <c r="K87" t="n">
        <v>0</v>
      </c>
      <c r="L87" t="n">
        <v>0</v>
      </c>
      <c r="M87" t="n">
        <v>0</v>
      </c>
      <c r="N87" t="n">
        <v>0</v>
      </c>
      <c r="O87" t="n">
        <v>0</v>
      </c>
      <c r="P87" t="n">
        <v>0</v>
      </c>
      <c r="Q87" t="n">
        <v>1</v>
      </c>
      <c r="R87" s="2" t="inlineStr">
        <is>
          <t>Skinnlav</t>
        </is>
      </c>
      <c r="S87">
        <f>HYPERLINK("https://klasma.github.io/Logging_2421/artfynd/A 56907-2019 artfynd.xlsx", "A 56907-2019")</f>
        <v/>
      </c>
      <c r="T87">
        <f>HYPERLINK("https://klasma.github.io/Logging_2421/kartor/A 56907-2019 karta.png", "A 56907-2019")</f>
        <v/>
      </c>
      <c r="V87">
        <f>HYPERLINK("https://klasma.github.io/Logging_2421/klagomål/A 56907-2019 FSC-klagomål.docx", "A 56907-2019")</f>
        <v/>
      </c>
      <c r="W87">
        <f>HYPERLINK("https://klasma.github.io/Logging_2421/klagomålsmail/A 56907-2019 FSC-klagomål mail.docx", "A 56907-2019")</f>
        <v/>
      </c>
      <c r="X87">
        <f>HYPERLINK("https://klasma.github.io/Logging_2421/tillsyn/A 56907-2019 tillsynsbegäran.docx", "A 56907-2019")</f>
        <v/>
      </c>
      <c r="Y87">
        <f>HYPERLINK("https://klasma.github.io/Logging_2421/tillsynsmail/A 56907-2019 tillsynsbegäran mail.docx", "A 56907-2019")</f>
        <v/>
      </c>
    </row>
    <row r="88" ht="15" customHeight="1">
      <c r="A88" t="inlineStr">
        <is>
          <t>A 59249-2019</t>
        </is>
      </c>
      <c r="B88" s="1" t="n">
        <v>43775</v>
      </c>
      <c r="C88" s="1" t="n">
        <v>45707</v>
      </c>
      <c r="D88" t="inlineStr">
        <is>
          <t>VÄSTERBOTTENS LÄN</t>
        </is>
      </c>
      <c r="E88" t="inlineStr">
        <is>
          <t>STORUMAN</t>
        </is>
      </c>
      <c r="F88" t="inlineStr">
        <is>
          <t>Sveaskog</t>
        </is>
      </c>
      <c r="G88" t="n">
        <v>4.1</v>
      </c>
      <c r="H88" t="n">
        <v>1</v>
      </c>
      <c r="I88" t="n">
        <v>0</v>
      </c>
      <c r="J88" t="n">
        <v>0</v>
      </c>
      <c r="K88" t="n">
        <v>0</v>
      </c>
      <c r="L88" t="n">
        <v>0</v>
      </c>
      <c r="M88" t="n">
        <v>0</v>
      </c>
      <c r="N88" t="n">
        <v>0</v>
      </c>
      <c r="O88" t="n">
        <v>0</v>
      </c>
      <c r="P88" t="n">
        <v>0</v>
      </c>
      <c r="Q88" t="n">
        <v>1</v>
      </c>
      <c r="R88" s="2" t="inlineStr">
        <is>
          <t>Tjäder</t>
        </is>
      </c>
      <c r="S88">
        <f>HYPERLINK("https://klasma.github.io/Logging_2421/artfynd/A 59249-2019 artfynd.xlsx", "A 59249-2019")</f>
        <v/>
      </c>
      <c r="T88">
        <f>HYPERLINK("https://klasma.github.io/Logging_2421/kartor/A 59249-2019 karta.png", "A 59249-2019")</f>
        <v/>
      </c>
      <c r="V88">
        <f>HYPERLINK("https://klasma.github.io/Logging_2421/klagomål/A 59249-2019 FSC-klagomål.docx", "A 59249-2019")</f>
        <v/>
      </c>
      <c r="W88">
        <f>HYPERLINK("https://klasma.github.io/Logging_2421/klagomålsmail/A 59249-2019 FSC-klagomål mail.docx", "A 59249-2019")</f>
        <v/>
      </c>
      <c r="X88">
        <f>HYPERLINK("https://klasma.github.io/Logging_2421/tillsyn/A 59249-2019 tillsynsbegäran.docx", "A 59249-2019")</f>
        <v/>
      </c>
      <c r="Y88">
        <f>HYPERLINK("https://klasma.github.io/Logging_2421/tillsynsmail/A 59249-2019 tillsynsbegäran mail.docx", "A 59249-2019")</f>
        <v/>
      </c>
      <c r="Z88">
        <f>HYPERLINK("https://klasma.github.io/Logging_2421/fåglar/A 59249-2019 prioriterade fågelarter.docx", "A 59249-2019")</f>
        <v/>
      </c>
    </row>
    <row r="89" ht="15" customHeight="1">
      <c r="A89" t="inlineStr">
        <is>
          <t>A 63673-2019</t>
        </is>
      </c>
      <c r="B89" s="1" t="n">
        <v>43789</v>
      </c>
      <c r="C89" s="1" t="n">
        <v>45707</v>
      </c>
      <c r="D89" t="inlineStr">
        <is>
          <t>VÄSTERBOTTENS LÄN</t>
        </is>
      </c>
      <c r="E89" t="inlineStr">
        <is>
          <t>STORUMAN</t>
        </is>
      </c>
      <c r="G89" t="n">
        <v>4.1</v>
      </c>
      <c r="H89" t="n">
        <v>1</v>
      </c>
      <c r="I89" t="n">
        <v>0</v>
      </c>
      <c r="J89" t="n">
        <v>0</v>
      </c>
      <c r="K89" t="n">
        <v>1</v>
      </c>
      <c r="L89" t="n">
        <v>0</v>
      </c>
      <c r="M89" t="n">
        <v>0</v>
      </c>
      <c r="N89" t="n">
        <v>0</v>
      </c>
      <c r="O89" t="n">
        <v>1</v>
      </c>
      <c r="P89" t="n">
        <v>1</v>
      </c>
      <c r="Q89" t="n">
        <v>1</v>
      </c>
      <c r="R89" s="2" t="inlineStr">
        <is>
          <t>Doftticka</t>
        </is>
      </c>
      <c r="S89">
        <f>HYPERLINK("https://klasma.github.io/Logging_2421/artfynd/A 63673-2019 artfynd.xlsx", "A 63673-2019")</f>
        <v/>
      </c>
      <c r="T89">
        <f>HYPERLINK("https://klasma.github.io/Logging_2421/kartor/A 63673-2019 karta.png", "A 63673-2019")</f>
        <v/>
      </c>
      <c r="V89">
        <f>HYPERLINK("https://klasma.github.io/Logging_2421/klagomål/A 63673-2019 FSC-klagomål.docx", "A 63673-2019")</f>
        <v/>
      </c>
      <c r="W89">
        <f>HYPERLINK("https://klasma.github.io/Logging_2421/klagomålsmail/A 63673-2019 FSC-klagomål mail.docx", "A 63673-2019")</f>
        <v/>
      </c>
      <c r="X89">
        <f>HYPERLINK("https://klasma.github.io/Logging_2421/tillsyn/A 63673-2019 tillsynsbegäran.docx", "A 63673-2019")</f>
        <v/>
      </c>
      <c r="Y89">
        <f>HYPERLINK("https://klasma.github.io/Logging_2421/tillsynsmail/A 63673-2019 tillsynsbegäran mail.docx", "A 63673-2019")</f>
        <v/>
      </c>
    </row>
    <row r="90" ht="15" customHeight="1">
      <c r="A90" t="inlineStr">
        <is>
          <t>A 40662-2020</t>
        </is>
      </c>
      <c r="B90" s="1" t="n">
        <v>44069</v>
      </c>
      <c r="C90" s="1" t="n">
        <v>45707</v>
      </c>
      <c r="D90" t="inlineStr">
        <is>
          <t>VÄSTERBOTTENS LÄN</t>
        </is>
      </c>
      <c r="E90" t="inlineStr">
        <is>
          <t>STORUMAN</t>
        </is>
      </c>
      <c r="G90" t="n">
        <v>1.7</v>
      </c>
      <c r="H90" t="n">
        <v>1</v>
      </c>
      <c r="I90" t="n">
        <v>0</v>
      </c>
      <c r="J90" t="n">
        <v>0</v>
      </c>
      <c r="K90" t="n">
        <v>0</v>
      </c>
      <c r="L90" t="n">
        <v>0</v>
      </c>
      <c r="M90" t="n">
        <v>0</v>
      </c>
      <c r="N90" t="n">
        <v>0</v>
      </c>
      <c r="O90" t="n">
        <v>0</v>
      </c>
      <c r="P90" t="n">
        <v>0</v>
      </c>
      <c r="Q90" t="n">
        <v>1</v>
      </c>
      <c r="R90" s="2" t="inlineStr">
        <is>
          <t>Lavskrika</t>
        </is>
      </c>
      <c r="S90">
        <f>HYPERLINK("https://klasma.github.io/Logging_2421/artfynd/A 40662-2020 artfynd.xlsx", "A 40662-2020")</f>
        <v/>
      </c>
      <c r="T90">
        <f>HYPERLINK("https://klasma.github.io/Logging_2421/kartor/A 40662-2020 karta.png", "A 40662-2020")</f>
        <v/>
      </c>
      <c r="V90">
        <f>HYPERLINK("https://klasma.github.io/Logging_2421/klagomål/A 40662-2020 FSC-klagomål.docx", "A 40662-2020")</f>
        <v/>
      </c>
      <c r="W90">
        <f>HYPERLINK("https://klasma.github.io/Logging_2421/klagomålsmail/A 40662-2020 FSC-klagomål mail.docx", "A 40662-2020")</f>
        <v/>
      </c>
      <c r="X90">
        <f>HYPERLINK("https://klasma.github.io/Logging_2421/tillsyn/A 40662-2020 tillsynsbegäran.docx", "A 40662-2020")</f>
        <v/>
      </c>
      <c r="Y90">
        <f>HYPERLINK("https://klasma.github.io/Logging_2421/tillsynsmail/A 40662-2020 tillsynsbegäran mail.docx", "A 40662-2020")</f>
        <v/>
      </c>
      <c r="Z90">
        <f>HYPERLINK("https://klasma.github.io/Logging_2421/fåglar/A 40662-2020 prioriterade fågelarter.docx", "A 40662-2020")</f>
        <v/>
      </c>
    </row>
    <row r="91" ht="15" customHeight="1">
      <c r="A91" t="inlineStr">
        <is>
          <t>A 3502-2021</t>
        </is>
      </c>
      <c r="B91" s="1" t="n">
        <v>44218</v>
      </c>
      <c r="C91" s="1" t="n">
        <v>45707</v>
      </c>
      <c r="D91" t="inlineStr">
        <is>
          <t>VÄSTERBOTTENS LÄN</t>
        </is>
      </c>
      <c r="E91" t="inlineStr">
        <is>
          <t>STORUMAN</t>
        </is>
      </c>
      <c r="F91" t="inlineStr">
        <is>
          <t>Sveaskog</t>
        </is>
      </c>
      <c r="G91" t="n">
        <v>4.3</v>
      </c>
      <c r="H91" t="n">
        <v>0</v>
      </c>
      <c r="I91" t="n">
        <v>1</v>
      </c>
      <c r="J91" t="n">
        <v>0</v>
      </c>
      <c r="K91" t="n">
        <v>0</v>
      </c>
      <c r="L91" t="n">
        <v>0</v>
      </c>
      <c r="M91" t="n">
        <v>0</v>
      </c>
      <c r="N91" t="n">
        <v>0</v>
      </c>
      <c r="O91" t="n">
        <v>0</v>
      </c>
      <c r="P91" t="n">
        <v>0</v>
      </c>
      <c r="Q91" t="n">
        <v>1</v>
      </c>
      <c r="R91" s="2" t="inlineStr">
        <is>
          <t>Stuplav</t>
        </is>
      </c>
      <c r="S91">
        <f>HYPERLINK("https://klasma.github.io/Logging_2421/artfynd/A 3502-2021 artfynd.xlsx", "A 3502-2021")</f>
        <v/>
      </c>
      <c r="T91">
        <f>HYPERLINK("https://klasma.github.io/Logging_2421/kartor/A 3502-2021 karta.png", "A 3502-2021")</f>
        <v/>
      </c>
      <c r="V91">
        <f>HYPERLINK("https://klasma.github.io/Logging_2421/klagomål/A 3502-2021 FSC-klagomål.docx", "A 3502-2021")</f>
        <v/>
      </c>
      <c r="W91">
        <f>HYPERLINK("https://klasma.github.io/Logging_2421/klagomålsmail/A 3502-2021 FSC-klagomål mail.docx", "A 3502-2021")</f>
        <v/>
      </c>
      <c r="X91">
        <f>HYPERLINK("https://klasma.github.io/Logging_2421/tillsyn/A 3502-2021 tillsynsbegäran.docx", "A 3502-2021")</f>
        <v/>
      </c>
      <c r="Y91">
        <f>HYPERLINK("https://klasma.github.io/Logging_2421/tillsynsmail/A 3502-2021 tillsynsbegäran mail.docx", "A 3502-2021")</f>
        <v/>
      </c>
    </row>
    <row r="92" ht="15" customHeight="1">
      <c r="A92" t="inlineStr">
        <is>
          <t>A 6210-2021</t>
        </is>
      </c>
      <c r="B92" s="1" t="n">
        <v>44232</v>
      </c>
      <c r="C92" s="1" t="n">
        <v>45707</v>
      </c>
      <c r="D92" t="inlineStr">
        <is>
          <t>VÄSTERBOTTENS LÄN</t>
        </is>
      </c>
      <c r="E92" t="inlineStr">
        <is>
          <t>STORUMAN</t>
        </is>
      </c>
      <c r="G92" t="n">
        <v>14</v>
      </c>
      <c r="H92" t="n">
        <v>0</v>
      </c>
      <c r="I92" t="n">
        <v>0</v>
      </c>
      <c r="J92" t="n">
        <v>1</v>
      </c>
      <c r="K92" t="n">
        <v>0</v>
      </c>
      <c r="L92" t="n">
        <v>0</v>
      </c>
      <c r="M92" t="n">
        <v>0</v>
      </c>
      <c r="N92" t="n">
        <v>0</v>
      </c>
      <c r="O92" t="n">
        <v>1</v>
      </c>
      <c r="P92" t="n">
        <v>0</v>
      </c>
      <c r="Q92" t="n">
        <v>1</v>
      </c>
      <c r="R92" s="2" t="inlineStr">
        <is>
          <t>Granticka</t>
        </is>
      </c>
      <c r="S92">
        <f>HYPERLINK("https://klasma.github.io/Logging_2421/artfynd/A 6210-2021 artfynd.xlsx", "A 6210-2021")</f>
        <v/>
      </c>
      <c r="T92">
        <f>HYPERLINK("https://klasma.github.io/Logging_2421/kartor/A 6210-2021 karta.png", "A 6210-2021")</f>
        <v/>
      </c>
      <c r="V92">
        <f>HYPERLINK("https://klasma.github.io/Logging_2421/klagomål/A 6210-2021 FSC-klagomål.docx", "A 6210-2021")</f>
        <v/>
      </c>
      <c r="W92">
        <f>HYPERLINK("https://klasma.github.io/Logging_2421/klagomålsmail/A 6210-2021 FSC-klagomål mail.docx", "A 6210-2021")</f>
        <v/>
      </c>
      <c r="X92">
        <f>HYPERLINK("https://klasma.github.io/Logging_2421/tillsyn/A 6210-2021 tillsynsbegäran.docx", "A 6210-2021")</f>
        <v/>
      </c>
      <c r="Y92">
        <f>HYPERLINK("https://klasma.github.io/Logging_2421/tillsynsmail/A 6210-2021 tillsynsbegäran mail.docx", "A 6210-2021")</f>
        <v/>
      </c>
    </row>
    <row r="93" ht="15" customHeight="1">
      <c r="A93" t="inlineStr">
        <is>
          <t>A 6852-2021</t>
        </is>
      </c>
      <c r="B93" s="1" t="n">
        <v>44237</v>
      </c>
      <c r="C93" s="1" t="n">
        <v>45707</v>
      </c>
      <c r="D93" t="inlineStr">
        <is>
          <t>VÄSTERBOTTENS LÄN</t>
        </is>
      </c>
      <c r="E93" t="inlineStr">
        <is>
          <t>STORUMAN</t>
        </is>
      </c>
      <c r="F93" t="inlineStr">
        <is>
          <t>Sveaskog</t>
        </is>
      </c>
      <c r="G93" t="n">
        <v>6.7</v>
      </c>
      <c r="H93" t="n">
        <v>0</v>
      </c>
      <c r="I93" t="n">
        <v>1</v>
      </c>
      <c r="J93" t="n">
        <v>0</v>
      </c>
      <c r="K93" t="n">
        <v>0</v>
      </c>
      <c r="L93" t="n">
        <v>0</v>
      </c>
      <c r="M93" t="n">
        <v>0</v>
      </c>
      <c r="N93" t="n">
        <v>0</v>
      </c>
      <c r="O93" t="n">
        <v>0</v>
      </c>
      <c r="P93" t="n">
        <v>0</v>
      </c>
      <c r="Q93" t="n">
        <v>1</v>
      </c>
      <c r="R93" s="2" t="inlineStr">
        <is>
          <t>Dropptaggsvamp</t>
        </is>
      </c>
      <c r="S93">
        <f>HYPERLINK("https://klasma.github.io/Logging_2421/artfynd/A 6852-2021 artfynd.xlsx", "A 6852-2021")</f>
        <v/>
      </c>
      <c r="T93">
        <f>HYPERLINK("https://klasma.github.io/Logging_2421/kartor/A 6852-2021 karta.png", "A 6852-2021")</f>
        <v/>
      </c>
      <c r="V93">
        <f>HYPERLINK("https://klasma.github.io/Logging_2421/klagomål/A 6852-2021 FSC-klagomål.docx", "A 6852-2021")</f>
        <v/>
      </c>
      <c r="W93">
        <f>HYPERLINK("https://klasma.github.io/Logging_2421/klagomålsmail/A 6852-2021 FSC-klagomål mail.docx", "A 6852-2021")</f>
        <v/>
      </c>
      <c r="X93">
        <f>HYPERLINK("https://klasma.github.io/Logging_2421/tillsyn/A 6852-2021 tillsynsbegäran.docx", "A 6852-2021")</f>
        <v/>
      </c>
      <c r="Y93">
        <f>HYPERLINK("https://klasma.github.io/Logging_2421/tillsynsmail/A 6852-2021 tillsynsbegäran mail.docx", "A 6852-2021")</f>
        <v/>
      </c>
    </row>
    <row r="94" ht="15" customHeight="1">
      <c r="A94" t="inlineStr">
        <is>
          <t>A 19713-2021</t>
        </is>
      </c>
      <c r="B94" s="1" t="n">
        <v>44312</v>
      </c>
      <c r="C94" s="1" t="n">
        <v>45707</v>
      </c>
      <c r="D94" t="inlineStr">
        <is>
          <t>VÄSTERBOTTENS LÄN</t>
        </is>
      </c>
      <c r="E94" t="inlineStr">
        <is>
          <t>STORUMAN</t>
        </is>
      </c>
      <c r="G94" t="n">
        <v>1.6</v>
      </c>
      <c r="H94" t="n">
        <v>1</v>
      </c>
      <c r="I94" t="n">
        <v>0</v>
      </c>
      <c r="J94" t="n">
        <v>0</v>
      </c>
      <c r="K94" t="n">
        <v>1</v>
      </c>
      <c r="L94" t="n">
        <v>0</v>
      </c>
      <c r="M94" t="n">
        <v>0</v>
      </c>
      <c r="N94" t="n">
        <v>0</v>
      </c>
      <c r="O94" t="n">
        <v>1</v>
      </c>
      <c r="P94" t="n">
        <v>1</v>
      </c>
      <c r="Q94" t="n">
        <v>1</v>
      </c>
      <c r="R94" s="2" t="inlineStr">
        <is>
          <t>Knärot</t>
        </is>
      </c>
      <c r="S94">
        <f>HYPERLINK("https://klasma.github.io/Logging_2421/artfynd/A 19713-2021 artfynd.xlsx", "A 19713-2021")</f>
        <v/>
      </c>
      <c r="T94">
        <f>HYPERLINK("https://klasma.github.io/Logging_2421/kartor/A 19713-2021 karta.png", "A 19713-2021")</f>
        <v/>
      </c>
      <c r="U94">
        <f>HYPERLINK("https://klasma.github.io/Logging_2421/knärot/A 19713-2021 karta knärot.png", "A 19713-2021")</f>
        <v/>
      </c>
      <c r="V94">
        <f>HYPERLINK("https://klasma.github.io/Logging_2421/klagomål/A 19713-2021 FSC-klagomål.docx", "A 19713-2021")</f>
        <v/>
      </c>
      <c r="W94">
        <f>HYPERLINK("https://klasma.github.io/Logging_2421/klagomålsmail/A 19713-2021 FSC-klagomål mail.docx", "A 19713-2021")</f>
        <v/>
      </c>
      <c r="X94">
        <f>HYPERLINK("https://klasma.github.io/Logging_2421/tillsyn/A 19713-2021 tillsynsbegäran.docx", "A 19713-2021")</f>
        <v/>
      </c>
      <c r="Y94">
        <f>HYPERLINK("https://klasma.github.io/Logging_2421/tillsynsmail/A 19713-2021 tillsynsbegäran mail.docx", "A 19713-2021")</f>
        <v/>
      </c>
    </row>
    <row r="95" ht="15" customHeight="1">
      <c r="A95" t="inlineStr">
        <is>
          <t>A 42843-2021</t>
        </is>
      </c>
      <c r="B95" s="1" t="n">
        <v>44430</v>
      </c>
      <c r="C95" s="1" t="n">
        <v>45707</v>
      </c>
      <c r="D95" t="inlineStr">
        <is>
          <t>VÄSTERBOTTENS LÄN</t>
        </is>
      </c>
      <c r="E95" t="inlineStr">
        <is>
          <t>STORUMAN</t>
        </is>
      </c>
      <c r="F95" t="inlineStr">
        <is>
          <t>Övriga statliga verk och myndigheter</t>
        </is>
      </c>
      <c r="G95" t="n">
        <v>19.7</v>
      </c>
      <c r="H95" t="n">
        <v>0</v>
      </c>
      <c r="I95" t="n">
        <v>0</v>
      </c>
      <c r="J95" t="n">
        <v>1</v>
      </c>
      <c r="K95" t="n">
        <v>0</v>
      </c>
      <c r="L95" t="n">
        <v>0</v>
      </c>
      <c r="M95" t="n">
        <v>0</v>
      </c>
      <c r="N95" t="n">
        <v>0</v>
      </c>
      <c r="O95" t="n">
        <v>1</v>
      </c>
      <c r="P95" t="n">
        <v>0</v>
      </c>
      <c r="Q95" t="n">
        <v>1</v>
      </c>
      <c r="R95" s="2" t="inlineStr">
        <is>
          <t>Granticka</t>
        </is>
      </c>
      <c r="S95">
        <f>HYPERLINK("https://klasma.github.io/Logging_2421/artfynd/A 42843-2021 artfynd.xlsx", "A 42843-2021")</f>
        <v/>
      </c>
      <c r="T95">
        <f>HYPERLINK("https://klasma.github.io/Logging_2421/kartor/A 42843-2021 karta.png", "A 42843-2021")</f>
        <v/>
      </c>
      <c r="V95">
        <f>HYPERLINK("https://klasma.github.io/Logging_2421/klagomål/A 42843-2021 FSC-klagomål.docx", "A 42843-2021")</f>
        <v/>
      </c>
      <c r="W95">
        <f>HYPERLINK("https://klasma.github.io/Logging_2421/klagomålsmail/A 42843-2021 FSC-klagomål mail.docx", "A 42843-2021")</f>
        <v/>
      </c>
      <c r="X95">
        <f>HYPERLINK("https://klasma.github.io/Logging_2421/tillsyn/A 42843-2021 tillsynsbegäran.docx", "A 42843-2021")</f>
        <v/>
      </c>
      <c r="Y95">
        <f>HYPERLINK("https://klasma.github.io/Logging_2421/tillsynsmail/A 42843-2021 tillsynsbegäran mail.docx", "A 42843-2021")</f>
        <v/>
      </c>
    </row>
    <row r="96" ht="15" customHeight="1">
      <c r="A96" t="inlineStr">
        <is>
          <t>A 20192-2022</t>
        </is>
      </c>
      <c r="B96" s="1" t="n">
        <v>44698</v>
      </c>
      <c r="C96" s="1" t="n">
        <v>45707</v>
      </c>
      <c r="D96" t="inlineStr">
        <is>
          <t>VÄSTERBOTTENS LÄN</t>
        </is>
      </c>
      <c r="E96" t="inlineStr">
        <is>
          <t>STORUMAN</t>
        </is>
      </c>
      <c r="F96" t="inlineStr">
        <is>
          <t>Sveaskog</t>
        </is>
      </c>
      <c r="G96" t="n">
        <v>3.4</v>
      </c>
      <c r="H96" t="n">
        <v>0</v>
      </c>
      <c r="I96" t="n">
        <v>1</v>
      </c>
      <c r="J96" t="n">
        <v>0</v>
      </c>
      <c r="K96" t="n">
        <v>0</v>
      </c>
      <c r="L96" t="n">
        <v>0</v>
      </c>
      <c r="M96" t="n">
        <v>0</v>
      </c>
      <c r="N96" t="n">
        <v>0</v>
      </c>
      <c r="O96" t="n">
        <v>0</v>
      </c>
      <c r="P96" t="n">
        <v>0</v>
      </c>
      <c r="Q96" t="n">
        <v>1</v>
      </c>
      <c r="R96" s="2" t="inlineStr">
        <is>
          <t>Stuplav</t>
        </is>
      </c>
      <c r="S96">
        <f>HYPERLINK("https://klasma.github.io/Logging_2421/artfynd/A 20192-2022 artfynd.xlsx", "A 20192-2022")</f>
        <v/>
      </c>
      <c r="T96">
        <f>HYPERLINK("https://klasma.github.io/Logging_2421/kartor/A 20192-2022 karta.png", "A 20192-2022")</f>
        <v/>
      </c>
      <c r="V96">
        <f>HYPERLINK("https://klasma.github.io/Logging_2421/klagomål/A 20192-2022 FSC-klagomål.docx", "A 20192-2022")</f>
        <v/>
      </c>
      <c r="W96">
        <f>HYPERLINK("https://klasma.github.io/Logging_2421/klagomålsmail/A 20192-2022 FSC-klagomål mail.docx", "A 20192-2022")</f>
        <v/>
      </c>
      <c r="X96">
        <f>HYPERLINK("https://klasma.github.io/Logging_2421/tillsyn/A 20192-2022 tillsynsbegäran.docx", "A 20192-2022")</f>
        <v/>
      </c>
      <c r="Y96">
        <f>HYPERLINK("https://klasma.github.io/Logging_2421/tillsynsmail/A 20192-2022 tillsynsbegäran mail.docx", "A 20192-2022")</f>
        <v/>
      </c>
    </row>
    <row r="97" ht="15" customHeight="1">
      <c r="A97" t="inlineStr">
        <is>
          <t>A 3826-2023</t>
        </is>
      </c>
      <c r="B97" s="1" t="n">
        <v>44950</v>
      </c>
      <c r="C97" s="1" t="n">
        <v>45707</v>
      </c>
      <c r="D97" t="inlineStr">
        <is>
          <t>VÄSTERBOTTENS LÄN</t>
        </is>
      </c>
      <c r="E97" t="inlineStr">
        <is>
          <t>STORUMAN</t>
        </is>
      </c>
      <c r="G97" t="n">
        <v>0.7</v>
      </c>
      <c r="H97" t="n">
        <v>1</v>
      </c>
      <c r="I97" t="n">
        <v>0</v>
      </c>
      <c r="J97" t="n">
        <v>1</v>
      </c>
      <c r="K97" t="n">
        <v>0</v>
      </c>
      <c r="L97" t="n">
        <v>0</v>
      </c>
      <c r="M97" t="n">
        <v>0</v>
      </c>
      <c r="N97" t="n">
        <v>0</v>
      </c>
      <c r="O97" t="n">
        <v>1</v>
      </c>
      <c r="P97" t="n">
        <v>0</v>
      </c>
      <c r="Q97" t="n">
        <v>1</v>
      </c>
      <c r="R97" s="2" t="inlineStr">
        <is>
          <t>Tretåig hackspett</t>
        </is>
      </c>
      <c r="S97">
        <f>HYPERLINK("https://klasma.github.io/Logging_2421/artfynd/A 3826-2023 artfynd.xlsx", "A 3826-2023")</f>
        <v/>
      </c>
      <c r="T97">
        <f>HYPERLINK("https://klasma.github.io/Logging_2421/kartor/A 3826-2023 karta.png", "A 3826-2023")</f>
        <v/>
      </c>
      <c r="V97">
        <f>HYPERLINK("https://klasma.github.io/Logging_2421/klagomål/A 3826-2023 FSC-klagomål.docx", "A 3826-2023")</f>
        <v/>
      </c>
      <c r="W97">
        <f>HYPERLINK("https://klasma.github.io/Logging_2421/klagomålsmail/A 3826-2023 FSC-klagomål mail.docx", "A 3826-2023")</f>
        <v/>
      </c>
      <c r="X97">
        <f>HYPERLINK("https://klasma.github.io/Logging_2421/tillsyn/A 3826-2023 tillsynsbegäran.docx", "A 3826-2023")</f>
        <v/>
      </c>
      <c r="Y97">
        <f>HYPERLINK("https://klasma.github.io/Logging_2421/tillsynsmail/A 3826-2023 tillsynsbegäran mail.docx", "A 3826-2023")</f>
        <v/>
      </c>
      <c r="Z97">
        <f>HYPERLINK("https://klasma.github.io/Logging_2421/fåglar/A 3826-2023 prioriterade fågelarter.docx", "A 3826-2023")</f>
        <v/>
      </c>
    </row>
    <row r="98" ht="15" customHeight="1">
      <c r="A98" t="inlineStr">
        <is>
          <t>A 3894-2023</t>
        </is>
      </c>
      <c r="B98" s="1" t="n">
        <v>44951</v>
      </c>
      <c r="C98" s="1" t="n">
        <v>45707</v>
      </c>
      <c r="D98" t="inlineStr">
        <is>
          <t>VÄSTERBOTTENS LÄN</t>
        </is>
      </c>
      <c r="E98" t="inlineStr">
        <is>
          <t>STORUMAN</t>
        </is>
      </c>
      <c r="F98" t="inlineStr">
        <is>
          <t>SCA</t>
        </is>
      </c>
      <c r="G98" t="n">
        <v>9.800000000000001</v>
      </c>
      <c r="H98" t="n">
        <v>1</v>
      </c>
      <c r="I98" t="n">
        <v>0</v>
      </c>
      <c r="J98" t="n">
        <v>0</v>
      </c>
      <c r="K98" t="n">
        <v>1</v>
      </c>
      <c r="L98" t="n">
        <v>0</v>
      </c>
      <c r="M98" t="n">
        <v>0</v>
      </c>
      <c r="N98" t="n">
        <v>0</v>
      </c>
      <c r="O98" t="n">
        <v>1</v>
      </c>
      <c r="P98" t="n">
        <v>1</v>
      </c>
      <c r="Q98" t="n">
        <v>1</v>
      </c>
      <c r="R98" s="2" t="inlineStr">
        <is>
          <t>Knärot</t>
        </is>
      </c>
      <c r="S98">
        <f>HYPERLINK("https://klasma.github.io/Logging_2421/artfynd/A 3894-2023 artfynd.xlsx", "A 3894-2023")</f>
        <v/>
      </c>
      <c r="T98">
        <f>HYPERLINK("https://klasma.github.io/Logging_2421/kartor/A 3894-2023 karta.png", "A 3894-2023")</f>
        <v/>
      </c>
      <c r="U98">
        <f>HYPERLINK("https://klasma.github.io/Logging_2421/knärot/A 3894-2023 karta knärot.png", "A 3894-2023")</f>
        <v/>
      </c>
      <c r="V98">
        <f>HYPERLINK("https://klasma.github.io/Logging_2421/klagomål/A 3894-2023 FSC-klagomål.docx", "A 3894-2023")</f>
        <v/>
      </c>
      <c r="W98">
        <f>HYPERLINK("https://klasma.github.io/Logging_2421/klagomålsmail/A 3894-2023 FSC-klagomål mail.docx", "A 3894-2023")</f>
        <v/>
      </c>
      <c r="X98">
        <f>HYPERLINK("https://klasma.github.io/Logging_2421/tillsyn/A 3894-2023 tillsynsbegäran.docx", "A 3894-2023")</f>
        <v/>
      </c>
      <c r="Y98">
        <f>HYPERLINK("https://klasma.github.io/Logging_2421/tillsynsmail/A 3894-2023 tillsynsbegäran mail.docx", "A 3894-2023")</f>
        <v/>
      </c>
    </row>
    <row r="99" ht="15" customHeight="1">
      <c r="A99" t="inlineStr">
        <is>
          <t>A 13445-2023</t>
        </is>
      </c>
      <c r="B99" s="1" t="n">
        <v>45005</v>
      </c>
      <c r="C99" s="1" t="n">
        <v>45707</v>
      </c>
      <c r="D99" t="inlineStr">
        <is>
          <t>VÄSTERBOTTENS LÄN</t>
        </is>
      </c>
      <c r="E99" t="inlineStr">
        <is>
          <t>STORUMAN</t>
        </is>
      </c>
      <c r="G99" t="n">
        <v>3.6</v>
      </c>
      <c r="H99" t="n">
        <v>1</v>
      </c>
      <c r="I99" t="n">
        <v>0</v>
      </c>
      <c r="J99" t="n">
        <v>0</v>
      </c>
      <c r="K99" t="n">
        <v>0</v>
      </c>
      <c r="L99" t="n">
        <v>0</v>
      </c>
      <c r="M99" t="n">
        <v>0</v>
      </c>
      <c r="N99" t="n">
        <v>0</v>
      </c>
      <c r="O99" t="n">
        <v>0</v>
      </c>
      <c r="P99" t="n">
        <v>0</v>
      </c>
      <c r="Q99" t="n">
        <v>1</v>
      </c>
      <c r="R99" s="2" t="inlineStr">
        <is>
          <t>Skogsrör</t>
        </is>
      </c>
      <c r="S99">
        <f>HYPERLINK("https://klasma.github.io/Logging_2421/artfynd/A 13445-2023 artfynd.xlsx", "A 13445-2023")</f>
        <v/>
      </c>
      <c r="T99">
        <f>HYPERLINK("https://klasma.github.io/Logging_2421/kartor/A 13445-2023 karta.png", "A 13445-2023")</f>
        <v/>
      </c>
      <c r="V99">
        <f>HYPERLINK("https://klasma.github.io/Logging_2421/klagomål/A 13445-2023 FSC-klagomål.docx", "A 13445-2023")</f>
        <v/>
      </c>
      <c r="W99">
        <f>HYPERLINK("https://klasma.github.io/Logging_2421/klagomålsmail/A 13445-2023 FSC-klagomål mail.docx", "A 13445-2023")</f>
        <v/>
      </c>
      <c r="X99">
        <f>HYPERLINK("https://klasma.github.io/Logging_2421/tillsyn/A 13445-2023 tillsynsbegäran.docx", "A 13445-2023")</f>
        <v/>
      </c>
      <c r="Y99">
        <f>HYPERLINK("https://klasma.github.io/Logging_2421/tillsynsmail/A 13445-2023 tillsynsbegäran mail.docx", "A 13445-2023")</f>
        <v/>
      </c>
    </row>
    <row r="100" ht="15" customHeight="1">
      <c r="A100" t="inlineStr">
        <is>
          <t>A 19153-2023</t>
        </is>
      </c>
      <c r="B100" s="1" t="n">
        <v>45044</v>
      </c>
      <c r="C100" s="1" t="n">
        <v>45707</v>
      </c>
      <c r="D100" t="inlineStr">
        <is>
          <t>VÄSTERBOTTENS LÄN</t>
        </is>
      </c>
      <c r="E100" t="inlineStr">
        <is>
          <t>STORUMAN</t>
        </is>
      </c>
      <c r="G100" t="n">
        <v>16</v>
      </c>
      <c r="H100" t="n">
        <v>0</v>
      </c>
      <c r="I100" t="n">
        <v>0</v>
      </c>
      <c r="J100" t="n">
        <v>1</v>
      </c>
      <c r="K100" t="n">
        <v>0</v>
      </c>
      <c r="L100" t="n">
        <v>0</v>
      </c>
      <c r="M100" t="n">
        <v>0</v>
      </c>
      <c r="N100" t="n">
        <v>0</v>
      </c>
      <c r="O100" t="n">
        <v>1</v>
      </c>
      <c r="P100" t="n">
        <v>0</v>
      </c>
      <c r="Q100" t="n">
        <v>1</v>
      </c>
      <c r="R100" s="2" t="inlineStr">
        <is>
          <t>Ullticka</t>
        </is>
      </c>
      <c r="S100">
        <f>HYPERLINK("https://klasma.github.io/Logging_2421/artfynd/A 19153-2023 artfynd.xlsx", "A 19153-2023")</f>
        <v/>
      </c>
      <c r="T100">
        <f>HYPERLINK("https://klasma.github.io/Logging_2421/kartor/A 19153-2023 karta.png", "A 19153-2023")</f>
        <v/>
      </c>
      <c r="V100">
        <f>HYPERLINK("https://klasma.github.io/Logging_2421/klagomål/A 19153-2023 FSC-klagomål.docx", "A 19153-2023")</f>
        <v/>
      </c>
      <c r="W100">
        <f>HYPERLINK("https://klasma.github.io/Logging_2421/klagomålsmail/A 19153-2023 FSC-klagomål mail.docx", "A 19153-2023")</f>
        <v/>
      </c>
      <c r="X100">
        <f>HYPERLINK("https://klasma.github.io/Logging_2421/tillsyn/A 19153-2023 tillsynsbegäran.docx", "A 19153-2023")</f>
        <v/>
      </c>
      <c r="Y100">
        <f>HYPERLINK("https://klasma.github.io/Logging_2421/tillsynsmail/A 19153-2023 tillsynsbegäran mail.docx", "A 19153-2023")</f>
        <v/>
      </c>
    </row>
    <row r="101" ht="15" customHeight="1">
      <c r="A101" t="inlineStr">
        <is>
          <t>A 29223-2023</t>
        </is>
      </c>
      <c r="B101" s="1" t="n">
        <v>45097</v>
      </c>
      <c r="C101" s="1" t="n">
        <v>45707</v>
      </c>
      <c r="D101" t="inlineStr">
        <is>
          <t>VÄSTERBOTTENS LÄN</t>
        </is>
      </c>
      <c r="E101" t="inlineStr">
        <is>
          <t>STORUMAN</t>
        </is>
      </c>
      <c r="G101" t="n">
        <v>20</v>
      </c>
      <c r="H101" t="n">
        <v>1</v>
      </c>
      <c r="I101" t="n">
        <v>0</v>
      </c>
      <c r="J101" t="n">
        <v>0</v>
      </c>
      <c r="K101" t="n">
        <v>1</v>
      </c>
      <c r="L101" t="n">
        <v>0</v>
      </c>
      <c r="M101" t="n">
        <v>0</v>
      </c>
      <c r="N101" t="n">
        <v>0</v>
      </c>
      <c r="O101" t="n">
        <v>1</v>
      </c>
      <c r="P101" t="n">
        <v>1</v>
      </c>
      <c r="Q101" t="n">
        <v>1</v>
      </c>
      <c r="R101" s="2" t="inlineStr">
        <is>
          <t>Norna</t>
        </is>
      </c>
      <c r="S101">
        <f>HYPERLINK("https://klasma.github.io/Logging_2421/artfynd/A 29223-2023 artfynd.xlsx", "A 29223-2023")</f>
        <v/>
      </c>
      <c r="T101">
        <f>HYPERLINK("https://klasma.github.io/Logging_2421/kartor/A 29223-2023 karta.png", "A 29223-2023")</f>
        <v/>
      </c>
      <c r="V101">
        <f>HYPERLINK("https://klasma.github.io/Logging_2421/klagomål/A 29223-2023 FSC-klagomål.docx", "A 29223-2023")</f>
        <v/>
      </c>
      <c r="W101">
        <f>HYPERLINK("https://klasma.github.io/Logging_2421/klagomålsmail/A 29223-2023 FSC-klagomål mail.docx", "A 29223-2023")</f>
        <v/>
      </c>
      <c r="X101">
        <f>HYPERLINK("https://klasma.github.io/Logging_2421/tillsyn/A 29223-2023 tillsynsbegäran.docx", "A 29223-2023")</f>
        <v/>
      </c>
      <c r="Y101">
        <f>HYPERLINK("https://klasma.github.io/Logging_2421/tillsynsmail/A 29223-2023 tillsynsbegäran mail.docx", "A 29223-2023")</f>
        <v/>
      </c>
    </row>
    <row r="102" ht="15" customHeight="1">
      <c r="A102" t="inlineStr">
        <is>
          <t>A 29563-2023</t>
        </is>
      </c>
      <c r="B102" s="1" t="n">
        <v>45106</v>
      </c>
      <c r="C102" s="1" t="n">
        <v>45707</v>
      </c>
      <c r="D102" t="inlineStr">
        <is>
          <t>VÄSTERBOTTENS LÄN</t>
        </is>
      </c>
      <c r="E102" t="inlineStr">
        <is>
          <t>STORUMAN</t>
        </is>
      </c>
      <c r="F102" t="inlineStr">
        <is>
          <t>Sveaskog</t>
        </is>
      </c>
      <c r="G102" t="n">
        <v>3.8</v>
      </c>
      <c r="H102" t="n">
        <v>1</v>
      </c>
      <c r="I102" t="n">
        <v>0</v>
      </c>
      <c r="J102" t="n">
        <v>0</v>
      </c>
      <c r="K102" t="n">
        <v>1</v>
      </c>
      <c r="L102" t="n">
        <v>0</v>
      </c>
      <c r="M102" t="n">
        <v>0</v>
      </c>
      <c r="N102" t="n">
        <v>0</v>
      </c>
      <c r="O102" t="n">
        <v>1</v>
      </c>
      <c r="P102" t="n">
        <v>1</v>
      </c>
      <c r="Q102" t="n">
        <v>1</v>
      </c>
      <c r="R102" s="2" t="inlineStr">
        <is>
          <t>Knärot</t>
        </is>
      </c>
      <c r="S102">
        <f>HYPERLINK("https://klasma.github.io/Logging_2421/artfynd/A 29563-2023 artfynd.xlsx", "A 29563-2023")</f>
        <v/>
      </c>
      <c r="T102">
        <f>HYPERLINK("https://klasma.github.io/Logging_2421/kartor/A 29563-2023 karta.png", "A 29563-2023")</f>
        <v/>
      </c>
      <c r="U102">
        <f>HYPERLINK("https://klasma.github.io/Logging_2421/knärot/A 29563-2023 karta knärot.png", "A 29563-2023")</f>
        <v/>
      </c>
      <c r="V102">
        <f>HYPERLINK("https://klasma.github.io/Logging_2421/klagomål/A 29563-2023 FSC-klagomål.docx", "A 29563-2023")</f>
        <v/>
      </c>
      <c r="W102">
        <f>HYPERLINK("https://klasma.github.io/Logging_2421/klagomålsmail/A 29563-2023 FSC-klagomål mail.docx", "A 29563-2023")</f>
        <v/>
      </c>
      <c r="X102">
        <f>HYPERLINK("https://klasma.github.io/Logging_2421/tillsyn/A 29563-2023 tillsynsbegäran.docx", "A 29563-2023")</f>
        <v/>
      </c>
      <c r="Y102">
        <f>HYPERLINK("https://klasma.github.io/Logging_2421/tillsynsmail/A 29563-2023 tillsynsbegäran mail.docx", "A 29563-2023")</f>
        <v/>
      </c>
    </row>
    <row r="103" ht="15" customHeight="1">
      <c r="A103" t="inlineStr">
        <is>
          <t>A 29572-2023</t>
        </is>
      </c>
      <c r="B103" s="1" t="n">
        <v>45106</v>
      </c>
      <c r="C103" s="1" t="n">
        <v>45707</v>
      </c>
      <c r="D103" t="inlineStr">
        <is>
          <t>VÄSTERBOTTENS LÄN</t>
        </is>
      </c>
      <c r="E103" t="inlineStr">
        <is>
          <t>STORUMAN</t>
        </is>
      </c>
      <c r="F103" t="inlineStr">
        <is>
          <t>Sveaskog</t>
        </is>
      </c>
      <c r="G103" t="n">
        <v>5.3</v>
      </c>
      <c r="H103" t="n">
        <v>0</v>
      </c>
      <c r="I103" t="n">
        <v>0</v>
      </c>
      <c r="J103" t="n">
        <v>1</v>
      </c>
      <c r="K103" t="n">
        <v>0</v>
      </c>
      <c r="L103" t="n">
        <v>0</v>
      </c>
      <c r="M103" t="n">
        <v>0</v>
      </c>
      <c r="N103" t="n">
        <v>0</v>
      </c>
      <c r="O103" t="n">
        <v>1</v>
      </c>
      <c r="P103" t="n">
        <v>0</v>
      </c>
      <c r="Q103" t="n">
        <v>1</v>
      </c>
      <c r="R103" s="2" t="inlineStr">
        <is>
          <t>Skrovlig taggsvamp</t>
        </is>
      </c>
      <c r="S103">
        <f>HYPERLINK("https://klasma.github.io/Logging_2421/artfynd/A 29572-2023 artfynd.xlsx", "A 29572-2023")</f>
        <v/>
      </c>
      <c r="T103">
        <f>HYPERLINK("https://klasma.github.io/Logging_2421/kartor/A 29572-2023 karta.png", "A 29572-2023")</f>
        <v/>
      </c>
      <c r="V103">
        <f>HYPERLINK("https://klasma.github.io/Logging_2421/klagomål/A 29572-2023 FSC-klagomål.docx", "A 29572-2023")</f>
        <v/>
      </c>
      <c r="W103">
        <f>HYPERLINK("https://klasma.github.io/Logging_2421/klagomålsmail/A 29572-2023 FSC-klagomål mail.docx", "A 29572-2023")</f>
        <v/>
      </c>
      <c r="X103">
        <f>HYPERLINK("https://klasma.github.io/Logging_2421/tillsyn/A 29572-2023 tillsynsbegäran.docx", "A 29572-2023")</f>
        <v/>
      </c>
      <c r="Y103">
        <f>HYPERLINK("https://klasma.github.io/Logging_2421/tillsynsmail/A 29572-2023 tillsynsbegäran mail.docx", "A 29572-2023")</f>
        <v/>
      </c>
    </row>
    <row r="104" ht="15" customHeight="1">
      <c r="A104" t="inlineStr">
        <is>
          <t>A 60264-2023</t>
        </is>
      </c>
      <c r="B104" s="1" t="n">
        <v>45257</v>
      </c>
      <c r="C104" s="1" t="n">
        <v>45707</v>
      </c>
      <c r="D104" t="inlineStr">
        <is>
          <t>VÄSTERBOTTENS LÄN</t>
        </is>
      </c>
      <c r="E104" t="inlineStr">
        <is>
          <t>STORUMAN</t>
        </is>
      </c>
      <c r="G104" t="n">
        <v>15.8</v>
      </c>
      <c r="H104" t="n">
        <v>1</v>
      </c>
      <c r="I104" t="n">
        <v>0</v>
      </c>
      <c r="J104" t="n">
        <v>0</v>
      </c>
      <c r="K104" t="n">
        <v>0</v>
      </c>
      <c r="L104" t="n">
        <v>0</v>
      </c>
      <c r="M104" t="n">
        <v>0</v>
      </c>
      <c r="N104" t="n">
        <v>0</v>
      </c>
      <c r="O104" t="n">
        <v>0</v>
      </c>
      <c r="P104" t="n">
        <v>0</v>
      </c>
      <c r="Q104" t="n">
        <v>1</v>
      </c>
      <c r="R104" s="2" t="inlineStr">
        <is>
          <t>Gråspett</t>
        </is>
      </c>
      <c r="S104">
        <f>HYPERLINK("https://klasma.github.io/Logging_2421/artfynd/A 60264-2023 artfynd.xlsx", "A 60264-2023")</f>
        <v/>
      </c>
      <c r="T104">
        <f>HYPERLINK("https://klasma.github.io/Logging_2421/kartor/A 60264-2023 karta.png", "A 60264-2023")</f>
        <v/>
      </c>
      <c r="V104">
        <f>HYPERLINK("https://klasma.github.io/Logging_2421/klagomål/A 60264-2023 FSC-klagomål.docx", "A 60264-2023")</f>
        <v/>
      </c>
      <c r="W104">
        <f>HYPERLINK("https://klasma.github.io/Logging_2421/klagomålsmail/A 60264-2023 FSC-klagomål mail.docx", "A 60264-2023")</f>
        <v/>
      </c>
      <c r="X104">
        <f>HYPERLINK("https://klasma.github.io/Logging_2421/tillsyn/A 60264-2023 tillsynsbegäran.docx", "A 60264-2023")</f>
        <v/>
      </c>
      <c r="Y104">
        <f>HYPERLINK("https://klasma.github.io/Logging_2421/tillsynsmail/A 60264-2023 tillsynsbegäran mail.docx", "A 60264-2023")</f>
        <v/>
      </c>
      <c r="Z104">
        <f>HYPERLINK("https://klasma.github.io/Logging_2421/fåglar/A 60264-2023 prioriterade fågelarter.docx", "A 60264-2023")</f>
        <v/>
      </c>
    </row>
    <row r="105" ht="15" customHeight="1">
      <c r="A105" t="inlineStr">
        <is>
          <t>A 12579-2024</t>
        </is>
      </c>
      <c r="B105" s="1" t="n">
        <v>45379</v>
      </c>
      <c r="C105" s="1" t="n">
        <v>45707</v>
      </c>
      <c r="D105" t="inlineStr">
        <is>
          <t>VÄSTERBOTTENS LÄN</t>
        </is>
      </c>
      <c r="E105" t="inlineStr">
        <is>
          <t>STORUMAN</t>
        </is>
      </c>
      <c r="G105" t="n">
        <v>22</v>
      </c>
      <c r="H105" t="n">
        <v>1</v>
      </c>
      <c r="I105" t="n">
        <v>0</v>
      </c>
      <c r="J105" t="n">
        <v>1</v>
      </c>
      <c r="K105" t="n">
        <v>0</v>
      </c>
      <c r="L105" t="n">
        <v>0</v>
      </c>
      <c r="M105" t="n">
        <v>0</v>
      </c>
      <c r="N105" t="n">
        <v>0</v>
      </c>
      <c r="O105" t="n">
        <v>1</v>
      </c>
      <c r="P105" t="n">
        <v>0</v>
      </c>
      <c r="Q105" t="n">
        <v>1</v>
      </c>
      <c r="R105" s="2" t="inlineStr">
        <is>
          <t>Utter</t>
        </is>
      </c>
      <c r="S105">
        <f>HYPERLINK("https://klasma.github.io/Logging_2421/artfynd/A 12579-2024 artfynd.xlsx", "A 12579-2024")</f>
        <v/>
      </c>
      <c r="T105">
        <f>HYPERLINK("https://klasma.github.io/Logging_2421/kartor/A 12579-2024 karta.png", "A 12579-2024")</f>
        <v/>
      </c>
      <c r="V105">
        <f>HYPERLINK("https://klasma.github.io/Logging_2421/klagomål/A 12579-2024 FSC-klagomål.docx", "A 12579-2024")</f>
        <v/>
      </c>
      <c r="W105">
        <f>HYPERLINK("https://klasma.github.io/Logging_2421/klagomålsmail/A 12579-2024 FSC-klagomål mail.docx", "A 12579-2024")</f>
        <v/>
      </c>
      <c r="X105">
        <f>HYPERLINK("https://klasma.github.io/Logging_2421/tillsyn/A 12579-2024 tillsynsbegäran.docx", "A 12579-2024")</f>
        <v/>
      </c>
      <c r="Y105">
        <f>HYPERLINK("https://klasma.github.io/Logging_2421/tillsynsmail/A 12579-2024 tillsynsbegäran mail.docx", "A 12579-2024")</f>
        <v/>
      </c>
    </row>
    <row r="106" ht="15" customHeight="1">
      <c r="A106" t="inlineStr">
        <is>
          <t>A 16833-2024</t>
        </is>
      </c>
      <c r="B106" s="1" t="n">
        <v>45411</v>
      </c>
      <c r="C106" s="1" t="n">
        <v>45707</v>
      </c>
      <c r="D106" t="inlineStr">
        <is>
          <t>VÄSTERBOTTENS LÄN</t>
        </is>
      </c>
      <c r="E106" t="inlineStr">
        <is>
          <t>STORUMAN</t>
        </is>
      </c>
      <c r="F106" t="inlineStr">
        <is>
          <t>Sveaskog</t>
        </is>
      </c>
      <c r="G106" t="n">
        <v>7.4</v>
      </c>
      <c r="H106" t="n">
        <v>1</v>
      </c>
      <c r="I106" t="n">
        <v>0</v>
      </c>
      <c r="J106" t="n">
        <v>0</v>
      </c>
      <c r="K106" t="n">
        <v>1</v>
      </c>
      <c r="L106" t="n">
        <v>0</v>
      </c>
      <c r="M106" t="n">
        <v>0</v>
      </c>
      <c r="N106" t="n">
        <v>0</v>
      </c>
      <c r="O106" t="n">
        <v>1</v>
      </c>
      <c r="P106" t="n">
        <v>1</v>
      </c>
      <c r="Q106" t="n">
        <v>1</v>
      </c>
      <c r="R106" s="2" t="inlineStr">
        <is>
          <t>Knärot</t>
        </is>
      </c>
      <c r="S106">
        <f>HYPERLINK("https://klasma.github.io/Logging_2421/artfynd/A 16833-2024 artfynd.xlsx", "A 16833-2024")</f>
        <v/>
      </c>
      <c r="T106">
        <f>HYPERLINK("https://klasma.github.io/Logging_2421/kartor/A 16833-2024 karta.png", "A 16833-2024")</f>
        <v/>
      </c>
      <c r="U106">
        <f>HYPERLINK("https://klasma.github.io/Logging_2421/knärot/A 16833-2024 karta knärot.png", "A 16833-2024")</f>
        <v/>
      </c>
      <c r="V106">
        <f>HYPERLINK("https://klasma.github.io/Logging_2421/klagomål/A 16833-2024 FSC-klagomål.docx", "A 16833-2024")</f>
        <v/>
      </c>
      <c r="W106">
        <f>HYPERLINK("https://klasma.github.io/Logging_2421/klagomålsmail/A 16833-2024 FSC-klagomål mail.docx", "A 16833-2024")</f>
        <v/>
      </c>
      <c r="X106">
        <f>HYPERLINK("https://klasma.github.io/Logging_2421/tillsyn/A 16833-2024 tillsynsbegäran.docx", "A 16833-2024")</f>
        <v/>
      </c>
      <c r="Y106">
        <f>HYPERLINK("https://klasma.github.io/Logging_2421/tillsynsmail/A 16833-2024 tillsynsbegäran mail.docx", "A 16833-2024")</f>
        <v/>
      </c>
    </row>
    <row r="107" ht="15" customHeight="1">
      <c r="A107" t="inlineStr">
        <is>
          <t>A 21663-2024</t>
        </is>
      </c>
      <c r="B107" s="1" t="n">
        <v>45442</v>
      </c>
      <c r="C107" s="1" t="n">
        <v>45707</v>
      </c>
      <c r="D107" t="inlineStr">
        <is>
          <t>VÄSTERBOTTENS LÄN</t>
        </is>
      </c>
      <c r="E107" t="inlineStr">
        <is>
          <t>STORUMAN</t>
        </is>
      </c>
      <c r="F107" t="inlineStr">
        <is>
          <t>Holmen skog AB</t>
        </is>
      </c>
      <c r="G107" t="n">
        <v>4.7</v>
      </c>
      <c r="H107" t="n">
        <v>1</v>
      </c>
      <c r="I107" t="n">
        <v>0</v>
      </c>
      <c r="J107" t="n">
        <v>0</v>
      </c>
      <c r="K107" t="n">
        <v>1</v>
      </c>
      <c r="L107" t="n">
        <v>0</v>
      </c>
      <c r="M107" t="n">
        <v>0</v>
      </c>
      <c r="N107" t="n">
        <v>0</v>
      </c>
      <c r="O107" t="n">
        <v>1</v>
      </c>
      <c r="P107" t="n">
        <v>1</v>
      </c>
      <c r="Q107" t="n">
        <v>1</v>
      </c>
      <c r="R107" s="2" t="inlineStr">
        <is>
          <t>Knärot</t>
        </is>
      </c>
      <c r="S107">
        <f>HYPERLINK("https://klasma.github.io/Logging_2421/artfynd/A 21663-2024 artfynd.xlsx", "A 21663-2024")</f>
        <v/>
      </c>
      <c r="T107">
        <f>HYPERLINK("https://klasma.github.io/Logging_2421/kartor/A 21663-2024 karta.png", "A 21663-2024")</f>
        <v/>
      </c>
      <c r="U107">
        <f>HYPERLINK("https://klasma.github.io/Logging_2421/knärot/A 21663-2024 karta knärot.png", "A 21663-2024")</f>
        <v/>
      </c>
      <c r="V107">
        <f>HYPERLINK("https://klasma.github.io/Logging_2421/klagomål/A 21663-2024 FSC-klagomål.docx", "A 21663-2024")</f>
        <v/>
      </c>
      <c r="W107">
        <f>HYPERLINK("https://klasma.github.io/Logging_2421/klagomålsmail/A 21663-2024 FSC-klagomål mail.docx", "A 21663-2024")</f>
        <v/>
      </c>
      <c r="X107">
        <f>HYPERLINK("https://klasma.github.io/Logging_2421/tillsyn/A 21663-2024 tillsynsbegäran.docx", "A 21663-2024")</f>
        <v/>
      </c>
      <c r="Y107">
        <f>HYPERLINK("https://klasma.github.io/Logging_2421/tillsynsmail/A 21663-2024 tillsynsbegäran mail.docx", "A 21663-2024")</f>
        <v/>
      </c>
    </row>
    <row r="108" ht="15" customHeight="1">
      <c r="A108" t="inlineStr">
        <is>
          <t>A 23458-2024</t>
        </is>
      </c>
      <c r="B108" s="1" t="n">
        <v>45453</v>
      </c>
      <c r="C108" s="1" t="n">
        <v>45707</v>
      </c>
      <c r="D108" t="inlineStr">
        <is>
          <t>VÄSTERBOTTENS LÄN</t>
        </is>
      </c>
      <c r="E108" t="inlineStr">
        <is>
          <t>STORUMAN</t>
        </is>
      </c>
      <c r="F108" t="inlineStr">
        <is>
          <t>Sveaskog</t>
        </is>
      </c>
      <c r="G108" t="n">
        <v>2.2</v>
      </c>
      <c r="H108" t="n">
        <v>0</v>
      </c>
      <c r="I108" t="n">
        <v>1</v>
      </c>
      <c r="J108" t="n">
        <v>0</v>
      </c>
      <c r="K108" t="n">
        <v>0</v>
      </c>
      <c r="L108" t="n">
        <v>0</v>
      </c>
      <c r="M108" t="n">
        <v>0</v>
      </c>
      <c r="N108" t="n">
        <v>0</v>
      </c>
      <c r="O108" t="n">
        <v>0</v>
      </c>
      <c r="P108" t="n">
        <v>0</v>
      </c>
      <c r="Q108" t="n">
        <v>1</v>
      </c>
      <c r="R108" s="2" t="inlineStr">
        <is>
          <t>Dropptaggsvamp</t>
        </is>
      </c>
      <c r="S108">
        <f>HYPERLINK("https://klasma.github.io/Logging_2421/artfynd/A 23458-2024 artfynd.xlsx", "A 23458-2024")</f>
        <v/>
      </c>
      <c r="T108">
        <f>HYPERLINK("https://klasma.github.io/Logging_2421/kartor/A 23458-2024 karta.png", "A 23458-2024")</f>
        <v/>
      </c>
      <c r="V108">
        <f>HYPERLINK("https://klasma.github.io/Logging_2421/klagomål/A 23458-2024 FSC-klagomål.docx", "A 23458-2024")</f>
        <v/>
      </c>
      <c r="W108">
        <f>HYPERLINK("https://klasma.github.io/Logging_2421/klagomålsmail/A 23458-2024 FSC-klagomål mail.docx", "A 23458-2024")</f>
        <v/>
      </c>
      <c r="X108">
        <f>HYPERLINK("https://klasma.github.io/Logging_2421/tillsyn/A 23458-2024 tillsynsbegäran.docx", "A 23458-2024")</f>
        <v/>
      </c>
      <c r="Y108">
        <f>HYPERLINK("https://klasma.github.io/Logging_2421/tillsynsmail/A 23458-2024 tillsynsbegäran mail.docx", "A 23458-2024")</f>
        <v/>
      </c>
    </row>
    <row r="109" ht="15" customHeight="1">
      <c r="A109" t="inlineStr">
        <is>
          <t>A 31674-2024</t>
        </is>
      </c>
      <c r="B109" s="1" t="n">
        <v>45507</v>
      </c>
      <c r="C109" s="1" t="n">
        <v>45707</v>
      </c>
      <c r="D109" t="inlineStr">
        <is>
          <t>VÄSTERBOTTENS LÄN</t>
        </is>
      </c>
      <c r="E109" t="inlineStr">
        <is>
          <t>STORUMAN</t>
        </is>
      </c>
      <c r="F109" t="inlineStr">
        <is>
          <t>SCA</t>
        </is>
      </c>
      <c r="G109" t="n">
        <v>1.3</v>
      </c>
      <c r="H109" t="n">
        <v>1</v>
      </c>
      <c r="I109" t="n">
        <v>1</v>
      </c>
      <c r="J109" t="n">
        <v>0</v>
      </c>
      <c r="K109" t="n">
        <v>0</v>
      </c>
      <c r="L109" t="n">
        <v>0</v>
      </c>
      <c r="M109" t="n">
        <v>0</v>
      </c>
      <c r="N109" t="n">
        <v>0</v>
      </c>
      <c r="O109" t="n">
        <v>0</v>
      </c>
      <c r="P109" t="n">
        <v>0</v>
      </c>
      <c r="Q109" t="n">
        <v>1</v>
      </c>
      <c r="R109" s="2" t="inlineStr">
        <is>
          <t>Lappranunkel</t>
        </is>
      </c>
      <c r="S109">
        <f>HYPERLINK("https://klasma.github.io/Logging_2421/artfynd/A 31674-2024 artfynd.xlsx", "A 31674-2024")</f>
        <v/>
      </c>
      <c r="T109">
        <f>HYPERLINK("https://klasma.github.io/Logging_2421/kartor/A 31674-2024 karta.png", "A 31674-2024")</f>
        <v/>
      </c>
      <c r="V109">
        <f>HYPERLINK("https://klasma.github.io/Logging_2421/klagomål/A 31674-2024 FSC-klagomål.docx", "A 31674-2024")</f>
        <v/>
      </c>
      <c r="W109">
        <f>HYPERLINK("https://klasma.github.io/Logging_2421/klagomålsmail/A 31674-2024 FSC-klagomål mail.docx", "A 31674-2024")</f>
        <v/>
      </c>
      <c r="X109">
        <f>HYPERLINK("https://klasma.github.io/Logging_2421/tillsyn/A 31674-2024 tillsynsbegäran.docx", "A 31674-2024")</f>
        <v/>
      </c>
      <c r="Y109">
        <f>HYPERLINK("https://klasma.github.io/Logging_2421/tillsynsmail/A 31674-2024 tillsynsbegäran mail.docx", "A 31674-2024")</f>
        <v/>
      </c>
    </row>
    <row r="110" ht="15" customHeight="1">
      <c r="A110" t="inlineStr">
        <is>
          <t>A 33852-2024</t>
        </is>
      </c>
      <c r="B110" s="1" t="n">
        <v>45520</v>
      </c>
      <c r="C110" s="1" t="n">
        <v>45707</v>
      </c>
      <c r="D110" t="inlineStr">
        <is>
          <t>VÄSTERBOTTENS LÄN</t>
        </is>
      </c>
      <c r="E110" t="inlineStr">
        <is>
          <t>STORUMAN</t>
        </is>
      </c>
      <c r="F110" t="inlineStr">
        <is>
          <t>Sveaskog</t>
        </is>
      </c>
      <c r="G110" t="n">
        <v>1.9</v>
      </c>
      <c r="H110" t="n">
        <v>0</v>
      </c>
      <c r="I110" t="n">
        <v>0</v>
      </c>
      <c r="J110" t="n">
        <v>1</v>
      </c>
      <c r="K110" t="n">
        <v>0</v>
      </c>
      <c r="L110" t="n">
        <v>0</v>
      </c>
      <c r="M110" t="n">
        <v>0</v>
      </c>
      <c r="N110" t="n">
        <v>0</v>
      </c>
      <c r="O110" t="n">
        <v>1</v>
      </c>
      <c r="P110" t="n">
        <v>0</v>
      </c>
      <c r="Q110" t="n">
        <v>1</v>
      </c>
      <c r="R110" s="2" t="inlineStr">
        <is>
          <t>Lunglav</t>
        </is>
      </c>
      <c r="S110">
        <f>HYPERLINK("https://klasma.github.io/Logging_2421/artfynd/A 33852-2024 artfynd.xlsx", "A 33852-2024")</f>
        <v/>
      </c>
      <c r="T110">
        <f>HYPERLINK("https://klasma.github.io/Logging_2421/kartor/A 33852-2024 karta.png", "A 33852-2024")</f>
        <v/>
      </c>
      <c r="V110">
        <f>HYPERLINK("https://klasma.github.io/Logging_2421/klagomål/A 33852-2024 FSC-klagomål.docx", "A 33852-2024")</f>
        <v/>
      </c>
      <c r="W110">
        <f>HYPERLINK("https://klasma.github.io/Logging_2421/klagomålsmail/A 33852-2024 FSC-klagomål mail.docx", "A 33852-2024")</f>
        <v/>
      </c>
      <c r="X110">
        <f>HYPERLINK("https://klasma.github.io/Logging_2421/tillsyn/A 33852-2024 tillsynsbegäran.docx", "A 33852-2024")</f>
        <v/>
      </c>
      <c r="Y110">
        <f>HYPERLINK("https://klasma.github.io/Logging_2421/tillsynsmail/A 33852-2024 tillsynsbegäran mail.docx", "A 33852-2024")</f>
        <v/>
      </c>
    </row>
    <row r="111" ht="15" customHeight="1">
      <c r="A111" t="inlineStr">
        <is>
          <t>A 41819-2024</t>
        </is>
      </c>
      <c r="B111" s="1" t="n">
        <v>45561</v>
      </c>
      <c r="C111" s="1" t="n">
        <v>45707</v>
      </c>
      <c r="D111" t="inlineStr">
        <is>
          <t>VÄSTERBOTTENS LÄN</t>
        </is>
      </c>
      <c r="E111" t="inlineStr">
        <is>
          <t>STORUMAN</t>
        </is>
      </c>
      <c r="F111" t="inlineStr">
        <is>
          <t>Sveaskog</t>
        </is>
      </c>
      <c r="G111" t="n">
        <v>3.5</v>
      </c>
      <c r="H111" t="n">
        <v>0</v>
      </c>
      <c r="I111" t="n">
        <v>0</v>
      </c>
      <c r="J111" t="n">
        <v>1</v>
      </c>
      <c r="K111" t="n">
        <v>0</v>
      </c>
      <c r="L111" t="n">
        <v>0</v>
      </c>
      <c r="M111" t="n">
        <v>0</v>
      </c>
      <c r="N111" t="n">
        <v>0</v>
      </c>
      <c r="O111" t="n">
        <v>1</v>
      </c>
      <c r="P111" t="n">
        <v>0</v>
      </c>
      <c r="Q111" t="n">
        <v>1</v>
      </c>
      <c r="R111" s="2" t="inlineStr">
        <is>
          <t>Motaggsvamp</t>
        </is>
      </c>
      <c r="S111">
        <f>HYPERLINK("https://klasma.github.io/Logging_2421/artfynd/A 41819-2024 artfynd.xlsx", "A 41819-2024")</f>
        <v/>
      </c>
      <c r="T111">
        <f>HYPERLINK("https://klasma.github.io/Logging_2421/kartor/A 41819-2024 karta.png", "A 41819-2024")</f>
        <v/>
      </c>
      <c r="V111">
        <f>HYPERLINK("https://klasma.github.io/Logging_2421/klagomål/A 41819-2024 FSC-klagomål.docx", "A 41819-2024")</f>
        <v/>
      </c>
      <c r="W111">
        <f>HYPERLINK("https://klasma.github.io/Logging_2421/klagomålsmail/A 41819-2024 FSC-klagomål mail.docx", "A 41819-2024")</f>
        <v/>
      </c>
      <c r="X111">
        <f>HYPERLINK("https://klasma.github.io/Logging_2421/tillsyn/A 41819-2024 tillsynsbegäran.docx", "A 41819-2024")</f>
        <v/>
      </c>
      <c r="Y111">
        <f>HYPERLINK("https://klasma.github.io/Logging_2421/tillsynsmail/A 41819-2024 tillsynsbegäran mail.docx", "A 41819-2024")</f>
        <v/>
      </c>
    </row>
    <row r="112" ht="15" customHeight="1">
      <c r="A112" t="inlineStr">
        <is>
          <t>A 41848-2024</t>
        </is>
      </c>
      <c r="B112" s="1" t="n">
        <v>45561</v>
      </c>
      <c r="C112" s="1" t="n">
        <v>45707</v>
      </c>
      <c r="D112" t="inlineStr">
        <is>
          <t>VÄSTERBOTTENS LÄN</t>
        </is>
      </c>
      <c r="E112" t="inlineStr">
        <is>
          <t>STORUMAN</t>
        </is>
      </c>
      <c r="F112" t="inlineStr">
        <is>
          <t>Sveaskog</t>
        </is>
      </c>
      <c r="G112" t="n">
        <v>4.1</v>
      </c>
      <c r="H112" t="n">
        <v>0</v>
      </c>
      <c r="I112" t="n">
        <v>1</v>
      </c>
      <c r="J112" t="n">
        <v>0</v>
      </c>
      <c r="K112" t="n">
        <v>0</v>
      </c>
      <c r="L112" t="n">
        <v>0</v>
      </c>
      <c r="M112" t="n">
        <v>0</v>
      </c>
      <c r="N112" t="n">
        <v>0</v>
      </c>
      <c r="O112" t="n">
        <v>0</v>
      </c>
      <c r="P112" t="n">
        <v>0</v>
      </c>
      <c r="Q112" t="n">
        <v>1</v>
      </c>
      <c r="R112" s="2" t="inlineStr">
        <is>
          <t>Skarp dropptaggsvamp</t>
        </is>
      </c>
      <c r="S112">
        <f>HYPERLINK("https://klasma.github.io/Logging_2421/artfynd/A 41848-2024 artfynd.xlsx", "A 41848-2024")</f>
        <v/>
      </c>
      <c r="T112">
        <f>HYPERLINK("https://klasma.github.io/Logging_2421/kartor/A 41848-2024 karta.png", "A 41848-2024")</f>
        <v/>
      </c>
      <c r="V112">
        <f>HYPERLINK("https://klasma.github.io/Logging_2421/klagomål/A 41848-2024 FSC-klagomål.docx", "A 41848-2024")</f>
        <v/>
      </c>
      <c r="W112">
        <f>HYPERLINK("https://klasma.github.io/Logging_2421/klagomålsmail/A 41848-2024 FSC-klagomål mail.docx", "A 41848-2024")</f>
        <v/>
      </c>
      <c r="X112">
        <f>HYPERLINK("https://klasma.github.io/Logging_2421/tillsyn/A 41848-2024 tillsynsbegäran.docx", "A 41848-2024")</f>
        <v/>
      </c>
      <c r="Y112">
        <f>HYPERLINK("https://klasma.github.io/Logging_2421/tillsynsmail/A 41848-2024 tillsynsbegäran mail.docx", "A 41848-2024")</f>
        <v/>
      </c>
    </row>
    <row r="113" ht="15" customHeight="1">
      <c r="A113" t="inlineStr">
        <is>
          <t>A 45404-2024</t>
        </is>
      </c>
      <c r="B113" s="1" t="n">
        <v>45576</v>
      </c>
      <c r="C113" s="1" t="n">
        <v>45707</v>
      </c>
      <c r="D113" t="inlineStr">
        <is>
          <t>VÄSTERBOTTENS LÄN</t>
        </is>
      </c>
      <c r="E113" t="inlineStr">
        <is>
          <t>STORUMAN</t>
        </is>
      </c>
      <c r="F113" t="inlineStr">
        <is>
          <t>Sveaskog</t>
        </is>
      </c>
      <c r="G113" t="n">
        <v>3.3</v>
      </c>
      <c r="H113" t="n">
        <v>0</v>
      </c>
      <c r="I113" t="n">
        <v>0</v>
      </c>
      <c r="J113" t="n">
        <v>1</v>
      </c>
      <c r="K113" t="n">
        <v>0</v>
      </c>
      <c r="L113" t="n">
        <v>0</v>
      </c>
      <c r="M113" t="n">
        <v>0</v>
      </c>
      <c r="N113" t="n">
        <v>0</v>
      </c>
      <c r="O113" t="n">
        <v>1</v>
      </c>
      <c r="P113" t="n">
        <v>0</v>
      </c>
      <c r="Q113" t="n">
        <v>1</v>
      </c>
      <c r="R113" s="2" t="inlineStr">
        <is>
          <t>Lunglav</t>
        </is>
      </c>
      <c r="S113">
        <f>HYPERLINK("https://klasma.github.io/Logging_2421/artfynd/A 45404-2024 artfynd.xlsx", "A 45404-2024")</f>
        <v/>
      </c>
      <c r="T113">
        <f>HYPERLINK("https://klasma.github.io/Logging_2421/kartor/A 45404-2024 karta.png", "A 45404-2024")</f>
        <v/>
      </c>
      <c r="V113">
        <f>HYPERLINK("https://klasma.github.io/Logging_2421/klagomål/A 45404-2024 FSC-klagomål.docx", "A 45404-2024")</f>
        <v/>
      </c>
      <c r="W113">
        <f>HYPERLINK("https://klasma.github.io/Logging_2421/klagomålsmail/A 45404-2024 FSC-klagomål mail.docx", "A 45404-2024")</f>
        <v/>
      </c>
      <c r="X113">
        <f>HYPERLINK("https://klasma.github.io/Logging_2421/tillsyn/A 45404-2024 tillsynsbegäran.docx", "A 45404-2024")</f>
        <v/>
      </c>
      <c r="Y113">
        <f>HYPERLINK("https://klasma.github.io/Logging_2421/tillsynsmail/A 45404-2024 tillsynsbegäran mail.docx", "A 45404-2024")</f>
        <v/>
      </c>
    </row>
    <row r="114" ht="15" customHeight="1">
      <c r="A114" t="inlineStr">
        <is>
          <t>A 50942-2024</t>
        </is>
      </c>
      <c r="B114" s="1" t="n">
        <v>45602</v>
      </c>
      <c r="C114" s="1" t="n">
        <v>45707</v>
      </c>
      <c r="D114" t="inlineStr">
        <is>
          <t>VÄSTERBOTTENS LÄN</t>
        </is>
      </c>
      <c r="E114" t="inlineStr">
        <is>
          <t>STORUMAN</t>
        </is>
      </c>
      <c r="G114" t="n">
        <v>9.1</v>
      </c>
      <c r="H114" t="n">
        <v>1</v>
      </c>
      <c r="I114" t="n">
        <v>0</v>
      </c>
      <c r="J114" t="n">
        <v>0</v>
      </c>
      <c r="K114" t="n">
        <v>1</v>
      </c>
      <c r="L114" t="n">
        <v>0</v>
      </c>
      <c r="M114" t="n">
        <v>0</v>
      </c>
      <c r="N114" t="n">
        <v>0</v>
      </c>
      <c r="O114" t="n">
        <v>1</v>
      </c>
      <c r="P114" t="n">
        <v>1</v>
      </c>
      <c r="Q114" t="n">
        <v>1</v>
      </c>
      <c r="R114" s="2" t="inlineStr">
        <is>
          <t>Knärot</t>
        </is>
      </c>
      <c r="S114">
        <f>HYPERLINK("https://klasma.github.io/Logging_2421/artfynd/A 50942-2024 artfynd.xlsx", "A 50942-2024")</f>
        <v/>
      </c>
      <c r="T114">
        <f>HYPERLINK("https://klasma.github.io/Logging_2421/kartor/A 50942-2024 karta.png", "A 50942-2024")</f>
        <v/>
      </c>
      <c r="U114">
        <f>HYPERLINK("https://klasma.github.io/Logging_2421/knärot/A 50942-2024 karta knärot.png", "A 50942-2024")</f>
        <v/>
      </c>
      <c r="V114">
        <f>HYPERLINK("https://klasma.github.io/Logging_2421/klagomål/A 50942-2024 FSC-klagomål.docx", "A 50942-2024")</f>
        <v/>
      </c>
      <c r="W114">
        <f>HYPERLINK("https://klasma.github.io/Logging_2421/klagomålsmail/A 50942-2024 FSC-klagomål mail.docx", "A 50942-2024")</f>
        <v/>
      </c>
      <c r="X114">
        <f>HYPERLINK("https://klasma.github.io/Logging_2421/tillsyn/A 50942-2024 tillsynsbegäran.docx", "A 50942-2024")</f>
        <v/>
      </c>
      <c r="Y114">
        <f>HYPERLINK("https://klasma.github.io/Logging_2421/tillsynsmail/A 50942-2024 tillsynsbegäran mail.docx", "A 50942-2024")</f>
        <v/>
      </c>
    </row>
    <row r="115" ht="15" customHeight="1">
      <c r="A115" t="inlineStr">
        <is>
          <t>A 519-2025</t>
        </is>
      </c>
      <c r="B115" s="1" t="n">
        <v>45660</v>
      </c>
      <c r="C115" s="1" t="n">
        <v>45707</v>
      </c>
      <c r="D115" t="inlineStr">
        <is>
          <t>VÄSTERBOTTENS LÄN</t>
        </is>
      </c>
      <c r="E115" t="inlineStr">
        <is>
          <t>STORUMAN</t>
        </is>
      </c>
      <c r="G115" t="n">
        <v>10.4</v>
      </c>
      <c r="H115" t="n">
        <v>0</v>
      </c>
      <c r="I115" t="n">
        <v>1</v>
      </c>
      <c r="J115" t="n">
        <v>0</v>
      </c>
      <c r="K115" t="n">
        <v>0</v>
      </c>
      <c r="L115" t="n">
        <v>0</v>
      </c>
      <c r="M115" t="n">
        <v>0</v>
      </c>
      <c r="N115" t="n">
        <v>0</v>
      </c>
      <c r="O115" t="n">
        <v>0</v>
      </c>
      <c r="P115" t="n">
        <v>0</v>
      </c>
      <c r="Q115" t="n">
        <v>1</v>
      </c>
      <c r="R115" s="2" t="inlineStr">
        <is>
          <t>Skinnlav</t>
        </is>
      </c>
      <c r="S115">
        <f>HYPERLINK("https://klasma.github.io/Logging_2421/artfynd/A 519-2025 artfynd.xlsx", "A 519-2025")</f>
        <v/>
      </c>
      <c r="T115">
        <f>HYPERLINK("https://klasma.github.io/Logging_2421/kartor/A 519-2025 karta.png", "A 519-2025")</f>
        <v/>
      </c>
      <c r="V115">
        <f>HYPERLINK("https://klasma.github.io/Logging_2421/klagomål/A 519-2025 FSC-klagomål.docx", "A 519-2025")</f>
        <v/>
      </c>
      <c r="W115">
        <f>HYPERLINK("https://klasma.github.io/Logging_2421/klagomålsmail/A 519-2025 FSC-klagomål mail.docx", "A 519-2025")</f>
        <v/>
      </c>
      <c r="X115">
        <f>HYPERLINK("https://klasma.github.io/Logging_2421/tillsyn/A 519-2025 tillsynsbegäran.docx", "A 519-2025")</f>
        <v/>
      </c>
      <c r="Y115">
        <f>HYPERLINK("https://klasma.github.io/Logging_2421/tillsynsmail/A 519-2025 tillsynsbegäran mail.docx", "A 519-2025")</f>
        <v/>
      </c>
    </row>
    <row r="116" ht="15" customHeight="1">
      <c r="A116" t="inlineStr">
        <is>
          <t>A 18106-2019</t>
        </is>
      </c>
      <c r="B116" s="1" t="n">
        <v>43556</v>
      </c>
      <c r="C116" s="1" t="n">
        <v>45707</v>
      </c>
      <c r="D116" t="inlineStr">
        <is>
          <t>VÄSTERBOTTENS LÄN</t>
        </is>
      </c>
      <c r="E116" t="inlineStr">
        <is>
          <t>STORUMAN</t>
        </is>
      </c>
      <c r="G116" t="n">
        <v>9.5</v>
      </c>
      <c r="H116" t="n">
        <v>0</v>
      </c>
      <c r="I116" t="n">
        <v>0</v>
      </c>
      <c r="J116" t="n">
        <v>0</v>
      </c>
      <c r="K116" t="n">
        <v>0</v>
      </c>
      <c r="L116" t="n">
        <v>0</v>
      </c>
      <c r="M116" t="n">
        <v>0</v>
      </c>
      <c r="N116" t="n">
        <v>0</v>
      </c>
      <c r="O116" t="n">
        <v>0</v>
      </c>
      <c r="P116" t="n">
        <v>0</v>
      </c>
      <c r="Q116" t="n">
        <v>0</v>
      </c>
      <c r="R116" s="2" t="inlineStr"/>
    </row>
    <row r="117" ht="15" customHeight="1">
      <c r="A117" t="inlineStr">
        <is>
          <t>A 18096-2019</t>
        </is>
      </c>
      <c r="B117" s="1" t="n">
        <v>43556</v>
      </c>
      <c r="C117" s="1" t="n">
        <v>45707</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24955-2019</t>
        </is>
      </c>
      <c r="B118" s="1" t="n">
        <v>43598</v>
      </c>
      <c r="C118" s="1" t="n">
        <v>45707</v>
      </c>
      <c r="D118" t="inlineStr">
        <is>
          <t>VÄSTERBOTTENS LÄN</t>
        </is>
      </c>
      <c r="E118" t="inlineStr">
        <is>
          <t>STORUMAN</t>
        </is>
      </c>
      <c r="G118" t="n">
        <v>2.6</v>
      </c>
      <c r="H118" t="n">
        <v>0</v>
      </c>
      <c r="I118" t="n">
        <v>0</v>
      </c>
      <c r="J118" t="n">
        <v>0</v>
      </c>
      <c r="K118" t="n">
        <v>0</v>
      </c>
      <c r="L118" t="n">
        <v>0</v>
      </c>
      <c r="M118" t="n">
        <v>0</v>
      </c>
      <c r="N118" t="n">
        <v>0</v>
      </c>
      <c r="O118" t="n">
        <v>0</v>
      </c>
      <c r="P118" t="n">
        <v>0</v>
      </c>
      <c r="Q118" t="n">
        <v>0</v>
      </c>
      <c r="R118" s="2" t="inlineStr"/>
    </row>
    <row r="119" ht="15" customHeight="1">
      <c r="A119" t="inlineStr">
        <is>
          <t>A 24080-2019</t>
        </is>
      </c>
      <c r="B119" s="1" t="n">
        <v>43598</v>
      </c>
      <c r="C119" s="1" t="n">
        <v>45707</v>
      </c>
      <c r="D119" t="inlineStr">
        <is>
          <t>VÄSTERBOTTENS LÄN</t>
        </is>
      </c>
      <c r="E119" t="inlineStr">
        <is>
          <t>STORUMAN</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24952-2019</t>
        </is>
      </c>
      <c r="B120" s="1" t="n">
        <v>43598</v>
      </c>
      <c r="C120" s="1" t="n">
        <v>45707</v>
      </c>
      <c r="D120" t="inlineStr">
        <is>
          <t>VÄSTERBOTTENS LÄN</t>
        </is>
      </c>
      <c r="E120" t="inlineStr">
        <is>
          <t>STORUMAN</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25622-2019</t>
        </is>
      </c>
      <c r="B121" s="1" t="n">
        <v>43602</v>
      </c>
      <c r="C121" s="1" t="n">
        <v>45707</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26278-2019</t>
        </is>
      </c>
      <c r="B122" s="1" t="n">
        <v>43611</v>
      </c>
      <c r="C122" s="1" t="n">
        <v>45707</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26277-2019</t>
        </is>
      </c>
      <c r="B123" s="1" t="n">
        <v>43611</v>
      </c>
      <c r="C123" s="1" t="n">
        <v>45707</v>
      </c>
      <c r="D123" t="inlineStr">
        <is>
          <t>VÄSTERBOTTENS LÄN</t>
        </is>
      </c>
      <c r="E123" t="inlineStr">
        <is>
          <t>STORUMAN</t>
        </is>
      </c>
      <c r="G123" t="n">
        <v>3.3</v>
      </c>
      <c r="H123" t="n">
        <v>0</v>
      </c>
      <c r="I123" t="n">
        <v>0</v>
      </c>
      <c r="J123" t="n">
        <v>0</v>
      </c>
      <c r="K123" t="n">
        <v>0</v>
      </c>
      <c r="L123" t="n">
        <v>0</v>
      </c>
      <c r="M123" t="n">
        <v>0</v>
      </c>
      <c r="N123" t="n">
        <v>0</v>
      </c>
      <c r="O123" t="n">
        <v>0</v>
      </c>
      <c r="P123" t="n">
        <v>0</v>
      </c>
      <c r="Q123" t="n">
        <v>0</v>
      </c>
      <c r="R123" s="2" t="inlineStr"/>
    </row>
    <row r="124" ht="15" customHeight="1">
      <c r="A124" t="inlineStr">
        <is>
          <t>A 27038-2019</t>
        </is>
      </c>
      <c r="B124" s="1" t="n">
        <v>43614</v>
      </c>
      <c r="C124" s="1" t="n">
        <v>45707</v>
      </c>
      <c r="D124" t="inlineStr">
        <is>
          <t>VÄSTERBOTTENS LÄN</t>
        </is>
      </c>
      <c r="E124" t="inlineStr">
        <is>
          <t>STORUMAN</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27102-2019</t>
        </is>
      </c>
      <c r="B125" s="1" t="n">
        <v>43614</v>
      </c>
      <c r="C125" s="1" t="n">
        <v>45707</v>
      </c>
      <c r="D125" t="inlineStr">
        <is>
          <t>VÄSTERBOTTENS LÄN</t>
        </is>
      </c>
      <c r="E125" t="inlineStr">
        <is>
          <t>STORUMAN</t>
        </is>
      </c>
      <c r="F125" t="inlineStr">
        <is>
          <t>Sveaskog</t>
        </is>
      </c>
      <c r="G125" t="n">
        <v>16.9</v>
      </c>
      <c r="H125" t="n">
        <v>0</v>
      </c>
      <c r="I125" t="n">
        <v>0</v>
      </c>
      <c r="J125" t="n">
        <v>0</v>
      </c>
      <c r="K125" t="n">
        <v>0</v>
      </c>
      <c r="L125" t="n">
        <v>0</v>
      </c>
      <c r="M125" t="n">
        <v>0</v>
      </c>
      <c r="N125" t="n">
        <v>0</v>
      </c>
      <c r="O125" t="n">
        <v>0</v>
      </c>
      <c r="P125" t="n">
        <v>0</v>
      </c>
      <c r="Q125" t="n">
        <v>0</v>
      </c>
      <c r="R125" s="2" t="inlineStr"/>
    </row>
    <row r="126" ht="15" customHeight="1">
      <c r="A126" t="inlineStr">
        <is>
          <t>A 27342-2019</t>
        </is>
      </c>
      <c r="B126" s="1" t="n">
        <v>43616</v>
      </c>
      <c r="C126" s="1" t="n">
        <v>45707</v>
      </c>
      <c r="D126" t="inlineStr">
        <is>
          <t>VÄSTERBOTTENS LÄN</t>
        </is>
      </c>
      <c r="E126" t="inlineStr">
        <is>
          <t>STORUMAN</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29908-2019</t>
        </is>
      </c>
      <c r="B127" s="1" t="n">
        <v>43629</v>
      </c>
      <c r="C127" s="1" t="n">
        <v>45707</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33504-2019</t>
        </is>
      </c>
      <c r="B128" s="1" t="n">
        <v>43644</v>
      </c>
      <c r="C128" s="1" t="n">
        <v>45707</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33524-2019</t>
        </is>
      </c>
      <c r="B129" s="1" t="n">
        <v>43644</v>
      </c>
      <c r="C129" s="1" t="n">
        <v>45707</v>
      </c>
      <c r="D129" t="inlineStr">
        <is>
          <t>VÄSTERBOTTENS LÄN</t>
        </is>
      </c>
      <c r="E129" t="inlineStr">
        <is>
          <t>STORUMAN</t>
        </is>
      </c>
      <c r="G129" t="n">
        <v>1</v>
      </c>
      <c r="H129" t="n">
        <v>0</v>
      </c>
      <c r="I129" t="n">
        <v>0</v>
      </c>
      <c r="J129" t="n">
        <v>0</v>
      </c>
      <c r="K129" t="n">
        <v>0</v>
      </c>
      <c r="L129" t="n">
        <v>0</v>
      </c>
      <c r="M129" t="n">
        <v>0</v>
      </c>
      <c r="N129" t="n">
        <v>0</v>
      </c>
      <c r="O129" t="n">
        <v>0</v>
      </c>
      <c r="P129" t="n">
        <v>0</v>
      </c>
      <c r="Q129" t="n">
        <v>0</v>
      </c>
      <c r="R129" s="2" t="inlineStr"/>
    </row>
    <row r="130" ht="15" customHeight="1">
      <c r="A130" t="inlineStr">
        <is>
          <t>A 32717-2019</t>
        </is>
      </c>
      <c r="B130" s="1" t="n">
        <v>43647</v>
      </c>
      <c r="C130" s="1" t="n">
        <v>45707</v>
      </c>
      <c r="D130" t="inlineStr">
        <is>
          <t>VÄSTERBOTTENS LÄN</t>
        </is>
      </c>
      <c r="E130" t="inlineStr">
        <is>
          <t>STORUMAN</t>
        </is>
      </c>
      <c r="F130" t="inlineStr">
        <is>
          <t>Kyrkan</t>
        </is>
      </c>
      <c r="G130" t="n">
        <v>10.4</v>
      </c>
      <c r="H130" t="n">
        <v>0</v>
      </c>
      <c r="I130" t="n">
        <v>0</v>
      </c>
      <c r="J130" t="n">
        <v>0</v>
      </c>
      <c r="K130" t="n">
        <v>0</v>
      </c>
      <c r="L130" t="n">
        <v>0</v>
      </c>
      <c r="M130" t="n">
        <v>0</v>
      </c>
      <c r="N130" t="n">
        <v>0</v>
      </c>
      <c r="O130" t="n">
        <v>0</v>
      </c>
      <c r="P130" t="n">
        <v>0</v>
      </c>
      <c r="Q130" t="n">
        <v>0</v>
      </c>
      <c r="R130" s="2" t="inlineStr"/>
    </row>
    <row r="131" ht="15" customHeight="1">
      <c r="A131" t="inlineStr">
        <is>
          <t>A 33416-2019</t>
        </is>
      </c>
      <c r="B131" s="1" t="n">
        <v>43650</v>
      </c>
      <c r="C131" s="1" t="n">
        <v>45707</v>
      </c>
      <c r="D131" t="inlineStr">
        <is>
          <t>VÄSTERBOTTENS LÄN</t>
        </is>
      </c>
      <c r="E131" t="inlineStr">
        <is>
          <t>STORUMAN</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33533-2019</t>
        </is>
      </c>
      <c r="B132" s="1" t="n">
        <v>43651</v>
      </c>
      <c r="C132" s="1" t="n">
        <v>45707</v>
      </c>
      <c r="D132" t="inlineStr">
        <is>
          <t>VÄSTERBOTTENS LÄN</t>
        </is>
      </c>
      <c r="E132" t="inlineStr">
        <is>
          <t>STORUMAN</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33718-2019</t>
        </is>
      </c>
      <c r="B133" s="1" t="n">
        <v>43651</v>
      </c>
      <c r="C133" s="1" t="n">
        <v>45707</v>
      </c>
      <c r="D133" t="inlineStr">
        <is>
          <t>VÄSTERBOTTENS LÄN</t>
        </is>
      </c>
      <c r="E133" t="inlineStr">
        <is>
          <t>STORUMAN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34548-2019</t>
        </is>
      </c>
      <c r="B134" s="1" t="n">
        <v>43654</v>
      </c>
      <c r="C134" s="1" t="n">
        <v>45707</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35006-2019</t>
        </is>
      </c>
      <c r="B135" s="1" t="n">
        <v>43661</v>
      </c>
      <c r="C135" s="1" t="n">
        <v>45707</v>
      </c>
      <c r="D135" t="inlineStr">
        <is>
          <t>VÄSTERBOTTENS LÄN</t>
        </is>
      </c>
      <c r="E135" t="inlineStr">
        <is>
          <t>STORUMAN</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35027-2019</t>
        </is>
      </c>
      <c r="B136" s="1" t="n">
        <v>43661</v>
      </c>
      <c r="C136" s="1" t="n">
        <v>45707</v>
      </c>
      <c r="D136" t="inlineStr">
        <is>
          <t>VÄSTERBOTTENS LÄN</t>
        </is>
      </c>
      <c r="E136" t="inlineStr">
        <is>
          <t>STORUMAN</t>
        </is>
      </c>
      <c r="F136" t="inlineStr">
        <is>
          <t>Sveaskog</t>
        </is>
      </c>
      <c r="G136" t="n">
        <v>6.8</v>
      </c>
      <c r="H136" t="n">
        <v>0</v>
      </c>
      <c r="I136" t="n">
        <v>0</v>
      </c>
      <c r="J136" t="n">
        <v>0</v>
      </c>
      <c r="K136" t="n">
        <v>0</v>
      </c>
      <c r="L136" t="n">
        <v>0</v>
      </c>
      <c r="M136" t="n">
        <v>0</v>
      </c>
      <c r="N136" t="n">
        <v>0</v>
      </c>
      <c r="O136" t="n">
        <v>0</v>
      </c>
      <c r="P136" t="n">
        <v>0</v>
      </c>
      <c r="Q136" t="n">
        <v>0</v>
      </c>
      <c r="R136" s="2" t="inlineStr"/>
    </row>
    <row r="137" ht="15" customHeight="1">
      <c r="A137" t="inlineStr">
        <is>
          <t>A 40882-2019</t>
        </is>
      </c>
      <c r="B137" s="1" t="n">
        <v>43693</v>
      </c>
      <c r="C137" s="1" t="n">
        <v>45707</v>
      </c>
      <c r="D137" t="inlineStr">
        <is>
          <t>VÄSTERBOTTENS LÄN</t>
        </is>
      </c>
      <c r="E137" t="inlineStr">
        <is>
          <t>STORUMAN</t>
        </is>
      </c>
      <c r="G137" t="n">
        <v>2.6</v>
      </c>
      <c r="H137" t="n">
        <v>0</v>
      </c>
      <c r="I137" t="n">
        <v>0</v>
      </c>
      <c r="J137" t="n">
        <v>0</v>
      </c>
      <c r="K137" t="n">
        <v>0</v>
      </c>
      <c r="L137" t="n">
        <v>0</v>
      </c>
      <c r="M137" t="n">
        <v>0</v>
      </c>
      <c r="N137" t="n">
        <v>0</v>
      </c>
      <c r="O137" t="n">
        <v>0</v>
      </c>
      <c r="P137" t="n">
        <v>0</v>
      </c>
      <c r="Q137" t="n">
        <v>0</v>
      </c>
      <c r="R137" s="2" t="inlineStr"/>
    </row>
    <row r="138" ht="15" customHeight="1">
      <c r="A138" t="inlineStr">
        <is>
          <t>A 42312-2019</t>
        </is>
      </c>
      <c r="B138" s="1" t="n">
        <v>43703</v>
      </c>
      <c r="C138" s="1" t="n">
        <v>45707</v>
      </c>
      <c r="D138" t="inlineStr">
        <is>
          <t>VÄSTERBOTTENS LÄN</t>
        </is>
      </c>
      <c r="E138" t="inlineStr">
        <is>
          <t>STORUMAN</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43606-2019</t>
        </is>
      </c>
      <c r="B139" s="1" t="n">
        <v>43706</v>
      </c>
      <c r="C139" s="1" t="n">
        <v>45707</v>
      </c>
      <c r="D139" t="inlineStr">
        <is>
          <t>VÄSTERBOTTENS LÄN</t>
        </is>
      </c>
      <c r="E139" t="inlineStr">
        <is>
          <t>STORUMAN</t>
        </is>
      </c>
      <c r="G139" t="n">
        <v>20.1</v>
      </c>
      <c r="H139" t="n">
        <v>0</v>
      </c>
      <c r="I139" t="n">
        <v>0</v>
      </c>
      <c r="J139" t="n">
        <v>0</v>
      </c>
      <c r="K139" t="n">
        <v>0</v>
      </c>
      <c r="L139" t="n">
        <v>0</v>
      </c>
      <c r="M139" t="n">
        <v>0</v>
      </c>
      <c r="N139" t="n">
        <v>0</v>
      </c>
      <c r="O139" t="n">
        <v>0</v>
      </c>
      <c r="P139" t="n">
        <v>0</v>
      </c>
      <c r="Q139" t="n">
        <v>0</v>
      </c>
      <c r="R139" s="2" t="inlineStr"/>
    </row>
    <row r="140" ht="15" customHeight="1">
      <c r="A140" t="inlineStr">
        <is>
          <t>A 43818-2019</t>
        </is>
      </c>
      <c r="B140" s="1" t="n">
        <v>43707</v>
      </c>
      <c r="C140" s="1" t="n">
        <v>45707</v>
      </c>
      <c r="D140" t="inlineStr">
        <is>
          <t>VÄSTERBOTTENS LÄN</t>
        </is>
      </c>
      <c r="E140" t="inlineStr">
        <is>
          <t>STORUMAN</t>
        </is>
      </c>
      <c r="F140" t="inlineStr">
        <is>
          <t>Holmen skog AB</t>
        </is>
      </c>
      <c r="G140" t="n">
        <v>3.6</v>
      </c>
      <c r="H140" t="n">
        <v>0</v>
      </c>
      <c r="I140" t="n">
        <v>0</v>
      </c>
      <c r="J140" t="n">
        <v>0</v>
      </c>
      <c r="K140" t="n">
        <v>0</v>
      </c>
      <c r="L140" t="n">
        <v>0</v>
      </c>
      <c r="M140" t="n">
        <v>0</v>
      </c>
      <c r="N140" t="n">
        <v>0</v>
      </c>
      <c r="O140" t="n">
        <v>0</v>
      </c>
      <c r="P140" t="n">
        <v>0</v>
      </c>
      <c r="Q140" t="n">
        <v>0</v>
      </c>
      <c r="R140" s="2" t="inlineStr"/>
    </row>
    <row r="141" ht="15" customHeight="1">
      <c r="A141" t="inlineStr">
        <is>
          <t>A 43986-2019</t>
        </is>
      </c>
      <c r="B141" s="1" t="n">
        <v>43709</v>
      </c>
      <c r="C141" s="1" t="n">
        <v>45707</v>
      </c>
      <c r="D141" t="inlineStr">
        <is>
          <t>VÄSTERBOTTENS LÄN</t>
        </is>
      </c>
      <c r="E141" t="inlineStr">
        <is>
          <t>STORUMAN</t>
        </is>
      </c>
      <c r="G141" t="n">
        <v>3.2</v>
      </c>
      <c r="H141" t="n">
        <v>0</v>
      </c>
      <c r="I141" t="n">
        <v>0</v>
      </c>
      <c r="J141" t="n">
        <v>0</v>
      </c>
      <c r="K141" t="n">
        <v>0</v>
      </c>
      <c r="L141" t="n">
        <v>0</v>
      </c>
      <c r="M141" t="n">
        <v>0</v>
      </c>
      <c r="N141" t="n">
        <v>0</v>
      </c>
      <c r="O141" t="n">
        <v>0</v>
      </c>
      <c r="P141" t="n">
        <v>0</v>
      </c>
      <c r="Q141" t="n">
        <v>0</v>
      </c>
      <c r="R141" s="2" t="inlineStr"/>
    </row>
    <row r="142" ht="15" customHeight="1">
      <c r="A142" t="inlineStr">
        <is>
          <t>A 45242-2019</t>
        </is>
      </c>
      <c r="B142" s="1" t="n">
        <v>43713</v>
      </c>
      <c r="C142" s="1" t="n">
        <v>45707</v>
      </c>
      <c r="D142" t="inlineStr">
        <is>
          <t>VÄSTERBOTTENS LÄN</t>
        </is>
      </c>
      <c r="E142" t="inlineStr">
        <is>
          <t>STORUMAN</t>
        </is>
      </c>
      <c r="G142" t="n">
        <v>7.5</v>
      </c>
      <c r="H142" t="n">
        <v>0</v>
      </c>
      <c r="I142" t="n">
        <v>0</v>
      </c>
      <c r="J142" t="n">
        <v>0</v>
      </c>
      <c r="K142" t="n">
        <v>0</v>
      </c>
      <c r="L142" t="n">
        <v>0</v>
      </c>
      <c r="M142" t="n">
        <v>0</v>
      </c>
      <c r="N142" t="n">
        <v>0</v>
      </c>
      <c r="O142" t="n">
        <v>0</v>
      </c>
      <c r="P142" t="n">
        <v>0</v>
      </c>
      <c r="Q142" t="n">
        <v>0</v>
      </c>
      <c r="R142" s="2" t="inlineStr"/>
    </row>
    <row r="143" ht="15" customHeight="1">
      <c r="A143" t="inlineStr">
        <is>
          <t>A 46471-2019</t>
        </is>
      </c>
      <c r="B143" s="1" t="n">
        <v>43719</v>
      </c>
      <c r="C143" s="1" t="n">
        <v>45707</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46645-2019</t>
        </is>
      </c>
      <c r="B144" s="1" t="n">
        <v>43719</v>
      </c>
      <c r="C144" s="1" t="n">
        <v>45707</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46612-2019</t>
        </is>
      </c>
      <c r="B145" s="1" t="n">
        <v>43719</v>
      </c>
      <c r="C145" s="1" t="n">
        <v>45707</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46655-2019</t>
        </is>
      </c>
      <c r="B146" s="1" t="n">
        <v>43719</v>
      </c>
      <c r="C146" s="1" t="n">
        <v>45707</v>
      </c>
      <c r="D146" t="inlineStr">
        <is>
          <t>VÄSTERBOTTENS LÄN</t>
        </is>
      </c>
      <c r="E146" t="inlineStr">
        <is>
          <t>STORUMAN</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46758-2019</t>
        </is>
      </c>
      <c r="B147" s="1" t="n">
        <v>43720</v>
      </c>
      <c r="C147" s="1" t="n">
        <v>45707</v>
      </c>
      <c r="D147" t="inlineStr">
        <is>
          <t>VÄSTERBOTTENS LÄN</t>
        </is>
      </c>
      <c r="E147" t="inlineStr">
        <is>
          <t>STORUMAN</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47932-2019</t>
        </is>
      </c>
      <c r="B148" s="1" t="n">
        <v>43725</v>
      </c>
      <c r="C148" s="1" t="n">
        <v>45707</v>
      </c>
      <c r="D148" t="inlineStr">
        <is>
          <t>VÄSTERBOTTENS LÄN</t>
        </is>
      </c>
      <c r="E148" t="inlineStr">
        <is>
          <t>STORUMAN</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49034-2019</t>
        </is>
      </c>
      <c r="B149" s="1" t="n">
        <v>43731</v>
      </c>
      <c r="C149" s="1" t="n">
        <v>45707</v>
      </c>
      <c r="D149" t="inlineStr">
        <is>
          <t>VÄSTERBOTTENS LÄN</t>
        </is>
      </c>
      <c r="E149" t="inlineStr">
        <is>
          <t>STORUMAN</t>
        </is>
      </c>
      <c r="F149" t="inlineStr">
        <is>
          <t>Sveaskog</t>
        </is>
      </c>
      <c r="G149" t="n">
        <v>29.4</v>
      </c>
      <c r="H149" t="n">
        <v>0</v>
      </c>
      <c r="I149" t="n">
        <v>0</v>
      </c>
      <c r="J149" t="n">
        <v>0</v>
      </c>
      <c r="K149" t="n">
        <v>0</v>
      </c>
      <c r="L149" t="n">
        <v>0</v>
      </c>
      <c r="M149" t="n">
        <v>0</v>
      </c>
      <c r="N149" t="n">
        <v>0</v>
      </c>
      <c r="O149" t="n">
        <v>0</v>
      </c>
      <c r="P149" t="n">
        <v>0</v>
      </c>
      <c r="Q149" t="n">
        <v>0</v>
      </c>
      <c r="R149" s="2" t="inlineStr"/>
    </row>
    <row r="150" ht="15" customHeight="1">
      <c r="A150" t="inlineStr">
        <is>
          <t>A 49598-2019</t>
        </is>
      </c>
      <c r="B150" s="1" t="n">
        <v>43732</v>
      </c>
      <c r="C150" s="1" t="n">
        <v>45707</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45707</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45707</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45707</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45707</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45707</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45707</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45707</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45707</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45707</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45707</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58959-2019</t>
        </is>
      </c>
      <c r="B161" s="1" t="n">
        <v>43768</v>
      </c>
      <c r="C161" s="1" t="n">
        <v>45707</v>
      </c>
      <c r="D161" t="inlineStr">
        <is>
          <t>VÄSTERBOTTENS LÄN</t>
        </is>
      </c>
      <c r="E161" t="inlineStr">
        <is>
          <t>STORUMAN</t>
        </is>
      </c>
      <c r="G161" t="n">
        <v>0.4</v>
      </c>
      <c r="H161" t="n">
        <v>0</v>
      </c>
      <c r="I161" t="n">
        <v>0</v>
      </c>
      <c r="J161" t="n">
        <v>0</v>
      </c>
      <c r="K161" t="n">
        <v>0</v>
      </c>
      <c r="L161" t="n">
        <v>0</v>
      </c>
      <c r="M161" t="n">
        <v>0</v>
      </c>
      <c r="N161" t="n">
        <v>0</v>
      </c>
      <c r="O161" t="n">
        <v>0</v>
      </c>
      <c r="P161" t="n">
        <v>0</v>
      </c>
      <c r="Q161" t="n">
        <v>0</v>
      </c>
      <c r="R161" s="2" t="inlineStr"/>
    </row>
    <row r="162" ht="15" customHeight="1">
      <c r="A162" t="inlineStr">
        <is>
          <t>A 59631-2019</t>
        </is>
      </c>
      <c r="B162" s="1" t="n">
        <v>43774</v>
      </c>
      <c r="C162" s="1" t="n">
        <v>45707</v>
      </c>
      <c r="D162" t="inlineStr">
        <is>
          <t>VÄSTERBOTTENS LÄN</t>
        </is>
      </c>
      <c r="E162" t="inlineStr">
        <is>
          <t>STORUMAN</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59637-2019</t>
        </is>
      </c>
      <c r="B163" s="1" t="n">
        <v>43774</v>
      </c>
      <c r="C163" s="1" t="n">
        <v>45707</v>
      </c>
      <c r="D163" t="inlineStr">
        <is>
          <t>VÄSTERBOTTENS LÄN</t>
        </is>
      </c>
      <c r="E163" t="inlineStr">
        <is>
          <t>STORUMAN</t>
        </is>
      </c>
      <c r="G163" t="n">
        <v>17.3</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45707</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45707</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45707</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45707</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45707</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45707</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45707</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45707</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45707</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45707</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45707</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45707</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45707</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45707</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45707</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45707</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45707</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45707</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45707</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45707</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45707</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45707</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45707</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29494-2020</t>
        </is>
      </c>
      <c r="B187" s="1" t="n">
        <v>44004</v>
      </c>
      <c r="C187" s="1" t="n">
        <v>45707</v>
      </c>
      <c r="D187" t="inlineStr">
        <is>
          <t>VÄSTERBOTTENS LÄN</t>
        </is>
      </c>
      <c r="E187" t="inlineStr">
        <is>
          <t>STORUMAN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30674-2020</t>
        </is>
      </c>
      <c r="B188" s="1" t="n">
        <v>44008</v>
      </c>
      <c r="C188" s="1" t="n">
        <v>45707</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30677-2020</t>
        </is>
      </c>
      <c r="B189" s="1" t="n">
        <v>44008</v>
      </c>
      <c r="C189" s="1" t="n">
        <v>45707</v>
      </c>
      <c r="D189" t="inlineStr">
        <is>
          <t>VÄSTERBOTTENS LÄN</t>
        </is>
      </c>
      <c r="E189" t="inlineStr">
        <is>
          <t>STORUMAN</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31715-2020</t>
        </is>
      </c>
      <c r="B190" s="1" t="n">
        <v>44013</v>
      </c>
      <c r="C190" s="1" t="n">
        <v>45707</v>
      </c>
      <c r="D190" t="inlineStr">
        <is>
          <t>VÄSTERBOTTENS LÄN</t>
        </is>
      </c>
      <c r="E190" t="inlineStr">
        <is>
          <t>STORUMAN</t>
        </is>
      </c>
      <c r="F190" t="inlineStr">
        <is>
          <t>Allmännings- och besparingsskogar</t>
        </is>
      </c>
      <c r="G190" t="n">
        <v>18.1</v>
      </c>
      <c r="H190" t="n">
        <v>0</v>
      </c>
      <c r="I190" t="n">
        <v>0</v>
      </c>
      <c r="J190" t="n">
        <v>0</v>
      </c>
      <c r="K190" t="n">
        <v>0</v>
      </c>
      <c r="L190" t="n">
        <v>0</v>
      </c>
      <c r="M190" t="n">
        <v>0</v>
      </c>
      <c r="N190" t="n">
        <v>0</v>
      </c>
      <c r="O190" t="n">
        <v>0</v>
      </c>
      <c r="P190" t="n">
        <v>0</v>
      </c>
      <c r="Q190" t="n">
        <v>0</v>
      </c>
      <c r="R190" s="2" t="inlineStr"/>
    </row>
    <row r="191" ht="15" customHeight="1">
      <c r="A191" t="inlineStr">
        <is>
          <t>A 31780-2020</t>
        </is>
      </c>
      <c r="B191" s="1" t="n">
        <v>44013</v>
      </c>
      <c r="C191" s="1" t="n">
        <v>45707</v>
      </c>
      <c r="D191" t="inlineStr">
        <is>
          <t>VÄSTERBOTTENS LÄN</t>
        </is>
      </c>
      <c r="E191" t="inlineStr">
        <is>
          <t>STORUMAN</t>
        </is>
      </c>
      <c r="F191" t="inlineStr">
        <is>
          <t>Allmännings- och besparingsskogar</t>
        </is>
      </c>
      <c r="G191" t="n">
        <v>17.5</v>
      </c>
      <c r="H191" t="n">
        <v>0</v>
      </c>
      <c r="I191" t="n">
        <v>0</v>
      </c>
      <c r="J191" t="n">
        <v>0</v>
      </c>
      <c r="K191" t="n">
        <v>0</v>
      </c>
      <c r="L191" t="n">
        <v>0</v>
      </c>
      <c r="M191" t="n">
        <v>0</v>
      </c>
      <c r="N191" t="n">
        <v>0</v>
      </c>
      <c r="O191" t="n">
        <v>0</v>
      </c>
      <c r="P191" t="n">
        <v>0</v>
      </c>
      <c r="Q191" t="n">
        <v>0</v>
      </c>
      <c r="R191" s="2" t="inlineStr"/>
    </row>
    <row r="192" ht="15" customHeight="1">
      <c r="A192" t="inlineStr">
        <is>
          <t>A 32394-2020</t>
        </is>
      </c>
      <c r="B192" s="1" t="n">
        <v>44018</v>
      </c>
      <c r="C192" s="1" t="n">
        <v>45707</v>
      </c>
      <c r="D192" t="inlineStr">
        <is>
          <t>VÄSTERBOTTENS LÄN</t>
        </is>
      </c>
      <c r="E192" t="inlineStr">
        <is>
          <t>STORUMAN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32391-2020</t>
        </is>
      </c>
      <c r="B193" s="1" t="n">
        <v>44018</v>
      </c>
      <c r="C193" s="1" t="n">
        <v>45707</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32714-2020</t>
        </is>
      </c>
      <c r="B194" s="1" t="n">
        <v>44018</v>
      </c>
      <c r="C194" s="1" t="n">
        <v>45707</v>
      </c>
      <c r="D194" t="inlineStr">
        <is>
          <t>VÄSTERBOTTENS LÄN</t>
        </is>
      </c>
      <c r="E194" t="inlineStr">
        <is>
          <t>STORUMAN</t>
        </is>
      </c>
      <c r="G194" t="n">
        <v>21.3</v>
      </c>
      <c r="H194" t="n">
        <v>0</v>
      </c>
      <c r="I194" t="n">
        <v>0</v>
      </c>
      <c r="J194" t="n">
        <v>0</v>
      </c>
      <c r="K194" t="n">
        <v>0</v>
      </c>
      <c r="L194" t="n">
        <v>0</v>
      </c>
      <c r="M194" t="n">
        <v>0</v>
      </c>
      <c r="N194" t="n">
        <v>0</v>
      </c>
      <c r="O194" t="n">
        <v>0</v>
      </c>
      <c r="P194" t="n">
        <v>0</v>
      </c>
      <c r="Q194" t="n">
        <v>0</v>
      </c>
      <c r="R194" s="2" t="inlineStr"/>
    </row>
    <row r="195" ht="15" customHeight="1">
      <c r="A195" t="inlineStr">
        <is>
          <t>A 32716-2020</t>
        </is>
      </c>
      <c r="B195" s="1" t="n">
        <v>44018</v>
      </c>
      <c r="C195" s="1" t="n">
        <v>45707</v>
      </c>
      <c r="D195" t="inlineStr">
        <is>
          <t>VÄSTERBOTTENS LÄN</t>
        </is>
      </c>
      <c r="E195" t="inlineStr">
        <is>
          <t>STORUMAN</t>
        </is>
      </c>
      <c r="G195" t="n">
        <v>5.2</v>
      </c>
      <c r="H195" t="n">
        <v>0</v>
      </c>
      <c r="I195" t="n">
        <v>0</v>
      </c>
      <c r="J195" t="n">
        <v>0</v>
      </c>
      <c r="K195" t="n">
        <v>0</v>
      </c>
      <c r="L195" t="n">
        <v>0</v>
      </c>
      <c r="M195" t="n">
        <v>0</v>
      </c>
      <c r="N195" t="n">
        <v>0</v>
      </c>
      <c r="O195" t="n">
        <v>0</v>
      </c>
      <c r="P195" t="n">
        <v>0</v>
      </c>
      <c r="Q195" t="n">
        <v>0</v>
      </c>
      <c r="R195" s="2" t="inlineStr"/>
    </row>
    <row r="196" ht="15" customHeight="1">
      <c r="A196" t="inlineStr">
        <is>
          <t>A 34613-2020</t>
        </is>
      </c>
      <c r="B196" s="1" t="n">
        <v>44033</v>
      </c>
      <c r="C196" s="1" t="n">
        <v>45707</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36846-2020</t>
        </is>
      </c>
      <c r="B197" s="1" t="n">
        <v>44053</v>
      </c>
      <c r="C197" s="1" t="n">
        <v>45707</v>
      </c>
      <c r="D197" t="inlineStr">
        <is>
          <t>VÄSTERBOTTENS LÄN</t>
        </is>
      </c>
      <c r="E197" t="inlineStr">
        <is>
          <t>STORUMAN</t>
        </is>
      </c>
      <c r="G197" t="n">
        <v>2.1</v>
      </c>
      <c r="H197" t="n">
        <v>0</v>
      </c>
      <c r="I197" t="n">
        <v>0</v>
      </c>
      <c r="J197" t="n">
        <v>0</v>
      </c>
      <c r="K197" t="n">
        <v>0</v>
      </c>
      <c r="L197" t="n">
        <v>0</v>
      </c>
      <c r="M197" t="n">
        <v>0</v>
      </c>
      <c r="N197" t="n">
        <v>0</v>
      </c>
      <c r="O197" t="n">
        <v>0</v>
      </c>
      <c r="P197" t="n">
        <v>0</v>
      </c>
      <c r="Q197" t="n">
        <v>0</v>
      </c>
      <c r="R197" s="2" t="inlineStr"/>
    </row>
    <row r="198" ht="15" customHeight="1">
      <c r="A198" t="inlineStr">
        <is>
          <t>A 39131-2020</t>
        </is>
      </c>
      <c r="B198" s="1" t="n">
        <v>44063</v>
      </c>
      <c r="C198" s="1" t="n">
        <v>45707</v>
      </c>
      <c r="D198" t="inlineStr">
        <is>
          <t>VÄSTERBOTTENS LÄN</t>
        </is>
      </c>
      <c r="E198" t="inlineStr">
        <is>
          <t>STORUMAN</t>
        </is>
      </c>
      <c r="F198" t="inlineStr">
        <is>
          <t>Sveaskog</t>
        </is>
      </c>
      <c r="G198" t="n">
        <v>36.1</v>
      </c>
      <c r="H198" t="n">
        <v>0</v>
      </c>
      <c r="I198" t="n">
        <v>0</v>
      </c>
      <c r="J198" t="n">
        <v>0</v>
      </c>
      <c r="K198" t="n">
        <v>0</v>
      </c>
      <c r="L198" t="n">
        <v>0</v>
      </c>
      <c r="M198" t="n">
        <v>0</v>
      </c>
      <c r="N198" t="n">
        <v>0</v>
      </c>
      <c r="O198" t="n">
        <v>0</v>
      </c>
      <c r="P198" t="n">
        <v>0</v>
      </c>
      <c r="Q198" t="n">
        <v>0</v>
      </c>
      <c r="R198" s="2" t="inlineStr"/>
    </row>
    <row r="199" ht="15" customHeight="1">
      <c r="A199" t="inlineStr">
        <is>
          <t>A 40845-2020</t>
        </is>
      </c>
      <c r="B199" s="1" t="n">
        <v>44070</v>
      </c>
      <c r="C199" s="1" t="n">
        <v>45707</v>
      </c>
      <c r="D199" t="inlineStr">
        <is>
          <t>VÄSTERBOTTENS LÄN</t>
        </is>
      </c>
      <c r="E199" t="inlineStr">
        <is>
          <t>STORUMAN</t>
        </is>
      </c>
      <c r="G199" t="n">
        <v>20.1</v>
      </c>
      <c r="H199" t="n">
        <v>0</v>
      </c>
      <c r="I199" t="n">
        <v>0</v>
      </c>
      <c r="J199" t="n">
        <v>0</v>
      </c>
      <c r="K199" t="n">
        <v>0</v>
      </c>
      <c r="L199" t="n">
        <v>0</v>
      </c>
      <c r="M199" t="n">
        <v>0</v>
      </c>
      <c r="N199" t="n">
        <v>0</v>
      </c>
      <c r="O199" t="n">
        <v>0</v>
      </c>
      <c r="P199" t="n">
        <v>0</v>
      </c>
      <c r="Q199" t="n">
        <v>0</v>
      </c>
      <c r="R199" s="2" t="inlineStr"/>
    </row>
    <row r="200" ht="15" customHeight="1">
      <c r="A200" t="inlineStr">
        <is>
          <t>A 42121-2020</t>
        </is>
      </c>
      <c r="B200" s="1" t="n">
        <v>44075</v>
      </c>
      <c r="C200" s="1" t="n">
        <v>45707</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42124-2020</t>
        </is>
      </c>
      <c r="B201" s="1" t="n">
        <v>44075</v>
      </c>
      <c r="C201" s="1" t="n">
        <v>45707</v>
      </c>
      <c r="D201" t="inlineStr">
        <is>
          <t>VÄSTERBOTTENS LÄN</t>
        </is>
      </c>
      <c r="E201" t="inlineStr">
        <is>
          <t>STORUMAN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43695-2020</t>
        </is>
      </c>
      <c r="B202" s="1" t="n">
        <v>44078</v>
      </c>
      <c r="C202" s="1" t="n">
        <v>45707</v>
      </c>
      <c r="D202" t="inlineStr">
        <is>
          <t>VÄSTERBOTTENS LÄN</t>
        </is>
      </c>
      <c r="E202" t="inlineStr">
        <is>
          <t>STORUMAN</t>
        </is>
      </c>
      <c r="G202" t="n">
        <v>6.6</v>
      </c>
      <c r="H202" t="n">
        <v>0</v>
      </c>
      <c r="I202" t="n">
        <v>0</v>
      </c>
      <c r="J202" t="n">
        <v>0</v>
      </c>
      <c r="K202" t="n">
        <v>0</v>
      </c>
      <c r="L202" t="n">
        <v>0</v>
      </c>
      <c r="M202" t="n">
        <v>0</v>
      </c>
      <c r="N202" t="n">
        <v>0</v>
      </c>
      <c r="O202" t="n">
        <v>0</v>
      </c>
      <c r="P202" t="n">
        <v>0</v>
      </c>
      <c r="Q202" t="n">
        <v>0</v>
      </c>
      <c r="R202" s="2" t="inlineStr"/>
    </row>
    <row r="203" ht="15" customHeight="1">
      <c r="A203" t="inlineStr">
        <is>
          <t>A 43901-2020</t>
        </is>
      </c>
      <c r="B203" s="1" t="n">
        <v>44078</v>
      </c>
      <c r="C203" s="1" t="n">
        <v>45707</v>
      </c>
      <c r="D203" t="inlineStr">
        <is>
          <t>VÄSTERBOTTENS LÄN</t>
        </is>
      </c>
      <c r="E203" t="inlineStr">
        <is>
          <t>STORUMAN</t>
        </is>
      </c>
      <c r="F203" t="inlineStr">
        <is>
          <t>Allmännings- och besparingsskogar</t>
        </is>
      </c>
      <c r="G203" t="n">
        <v>89.59999999999999</v>
      </c>
      <c r="H203" t="n">
        <v>0</v>
      </c>
      <c r="I203" t="n">
        <v>0</v>
      </c>
      <c r="J203" t="n">
        <v>0</v>
      </c>
      <c r="K203" t="n">
        <v>0</v>
      </c>
      <c r="L203" t="n">
        <v>0</v>
      </c>
      <c r="M203" t="n">
        <v>0</v>
      </c>
      <c r="N203" t="n">
        <v>0</v>
      </c>
      <c r="O203" t="n">
        <v>0</v>
      </c>
      <c r="P203" t="n">
        <v>0</v>
      </c>
      <c r="Q203" t="n">
        <v>0</v>
      </c>
      <c r="R203" s="2" t="inlineStr"/>
    </row>
    <row r="204" ht="15" customHeight="1">
      <c r="A204" t="inlineStr">
        <is>
          <t>A 43922-2020</t>
        </is>
      </c>
      <c r="B204" s="1" t="n">
        <v>44078</v>
      </c>
      <c r="C204" s="1" t="n">
        <v>45707</v>
      </c>
      <c r="D204" t="inlineStr">
        <is>
          <t>VÄSTERBOTTENS LÄN</t>
        </is>
      </c>
      <c r="E204" t="inlineStr">
        <is>
          <t>STORUMAN</t>
        </is>
      </c>
      <c r="F204" t="inlineStr">
        <is>
          <t>Allmännings- och besparingsskogar</t>
        </is>
      </c>
      <c r="G204" t="n">
        <v>49.7</v>
      </c>
      <c r="H204" t="n">
        <v>0</v>
      </c>
      <c r="I204" t="n">
        <v>0</v>
      </c>
      <c r="J204" t="n">
        <v>0</v>
      </c>
      <c r="K204" t="n">
        <v>0</v>
      </c>
      <c r="L204" t="n">
        <v>0</v>
      </c>
      <c r="M204" t="n">
        <v>0</v>
      </c>
      <c r="N204" t="n">
        <v>0</v>
      </c>
      <c r="O204" t="n">
        <v>0</v>
      </c>
      <c r="P204" t="n">
        <v>0</v>
      </c>
      <c r="Q204" t="n">
        <v>0</v>
      </c>
      <c r="R204" s="2" t="inlineStr"/>
    </row>
    <row r="205" ht="15" customHeight="1">
      <c r="A205" t="inlineStr">
        <is>
          <t>A 43926-2020</t>
        </is>
      </c>
      <c r="B205" s="1" t="n">
        <v>44078</v>
      </c>
      <c r="C205" s="1" t="n">
        <v>45707</v>
      </c>
      <c r="D205" t="inlineStr">
        <is>
          <t>VÄSTERBOTTENS LÄN</t>
        </is>
      </c>
      <c r="E205" t="inlineStr">
        <is>
          <t>STORUMAN</t>
        </is>
      </c>
      <c r="F205" t="inlineStr">
        <is>
          <t>Allmännings- och besparingsskogar</t>
        </is>
      </c>
      <c r="G205" t="n">
        <v>55.6</v>
      </c>
      <c r="H205" t="n">
        <v>0</v>
      </c>
      <c r="I205" t="n">
        <v>0</v>
      </c>
      <c r="J205" t="n">
        <v>0</v>
      </c>
      <c r="K205" t="n">
        <v>0</v>
      </c>
      <c r="L205" t="n">
        <v>0</v>
      </c>
      <c r="M205" t="n">
        <v>0</v>
      </c>
      <c r="N205" t="n">
        <v>0</v>
      </c>
      <c r="O205" t="n">
        <v>0</v>
      </c>
      <c r="P205" t="n">
        <v>0</v>
      </c>
      <c r="Q205" t="n">
        <v>0</v>
      </c>
      <c r="R205" s="2" t="inlineStr"/>
    </row>
    <row r="206" ht="15" customHeight="1">
      <c r="A206" t="inlineStr">
        <is>
          <t>A 46573-2020</t>
        </is>
      </c>
      <c r="B206" s="1" t="n">
        <v>44095</v>
      </c>
      <c r="C206" s="1" t="n">
        <v>45707</v>
      </c>
      <c r="D206" t="inlineStr">
        <is>
          <t>VÄSTERBOTTENS LÄN</t>
        </is>
      </c>
      <c r="E206" t="inlineStr">
        <is>
          <t>STORUMAN</t>
        </is>
      </c>
      <c r="G206" t="n">
        <v>0.1</v>
      </c>
      <c r="H206" t="n">
        <v>0</v>
      </c>
      <c r="I206" t="n">
        <v>0</v>
      </c>
      <c r="J206" t="n">
        <v>0</v>
      </c>
      <c r="K206" t="n">
        <v>0</v>
      </c>
      <c r="L206" t="n">
        <v>0</v>
      </c>
      <c r="M206" t="n">
        <v>0</v>
      </c>
      <c r="N206" t="n">
        <v>0</v>
      </c>
      <c r="O206" t="n">
        <v>0</v>
      </c>
      <c r="P206" t="n">
        <v>0</v>
      </c>
      <c r="Q206" t="n">
        <v>0</v>
      </c>
      <c r="R206" s="2" t="inlineStr"/>
    </row>
    <row r="207" ht="15" customHeight="1">
      <c r="A207" t="inlineStr">
        <is>
          <t>A 47491-2020</t>
        </is>
      </c>
      <c r="B207" s="1" t="n">
        <v>44095</v>
      </c>
      <c r="C207" s="1" t="n">
        <v>45707</v>
      </c>
      <c r="D207" t="inlineStr">
        <is>
          <t>VÄSTERBOTTENS LÄN</t>
        </is>
      </c>
      <c r="E207" t="inlineStr">
        <is>
          <t>STORUMAN</t>
        </is>
      </c>
      <c r="G207" t="n">
        <v>5.9</v>
      </c>
      <c r="H207" t="n">
        <v>0</v>
      </c>
      <c r="I207" t="n">
        <v>0</v>
      </c>
      <c r="J207" t="n">
        <v>0</v>
      </c>
      <c r="K207" t="n">
        <v>0</v>
      </c>
      <c r="L207" t="n">
        <v>0</v>
      </c>
      <c r="M207" t="n">
        <v>0</v>
      </c>
      <c r="N207" t="n">
        <v>0</v>
      </c>
      <c r="O207" t="n">
        <v>0</v>
      </c>
      <c r="P207" t="n">
        <v>0</v>
      </c>
      <c r="Q207" t="n">
        <v>0</v>
      </c>
      <c r="R207" s="2" t="inlineStr"/>
    </row>
    <row r="208" ht="15" customHeight="1">
      <c r="A208" t="inlineStr">
        <is>
          <t>A 50005-2020</t>
        </is>
      </c>
      <c r="B208" s="1" t="n">
        <v>44109</v>
      </c>
      <c r="C208" s="1" t="n">
        <v>45707</v>
      </c>
      <c r="D208" t="inlineStr">
        <is>
          <t>VÄSTERBOTTENS LÄN</t>
        </is>
      </c>
      <c r="E208" t="inlineStr">
        <is>
          <t>STORUMAN</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49981-2020</t>
        </is>
      </c>
      <c r="B209" s="1" t="n">
        <v>44109</v>
      </c>
      <c r="C209" s="1" t="n">
        <v>45707</v>
      </c>
      <c r="D209" t="inlineStr">
        <is>
          <t>VÄSTERBOTTENS LÄN</t>
        </is>
      </c>
      <c r="E209" t="inlineStr">
        <is>
          <t>STORUMAN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49948-2020</t>
        </is>
      </c>
      <c r="B210" s="1" t="n">
        <v>44109</v>
      </c>
      <c r="C210" s="1" t="n">
        <v>45707</v>
      </c>
      <c r="D210" t="inlineStr">
        <is>
          <t>VÄSTERBOTTENS LÄN</t>
        </is>
      </c>
      <c r="E210" t="inlineStr">
        <is>
          <t>STORUMAN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50014-2020</t>
        </is>
      </c>
      <c r="B211" s="1" t="n">
        <v>44109</v>
      </c>
      <c r="C211" s="1" t="n">
        <v>45707</v>
      </c>
      <c r="D211" t="inlineStr">
        <is>
          <t>VÄSTERBOTTENS LÄN</t>
        </is>
      </c>
      <c r="E211" t="inlineStr">
        <is>
          <t>STORUMAN</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51001-2020</t>
        </is>
      </c>
      <c r="B212" s="1" t="n">
        <v>44111</v>
      </c>
      <c r="C212" s="1" t="n">
        <v>45707</v>
      </c>
      <c r="D212" t="inlineStr">
        <is>
          <t>VÄSTERBOTTENS LÄN</t>
        </is>
      </c>
      <c r="E212" t="inlineStr">
        <is>
          <t>STORUMAN</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55486-2020</t>
        </is>
      </c>
      <c r="B213" s="1" t="n">
        <v>44131</v>
      </c>
      <c r="C213" s="1" t="n">
        <v>45707</v>
      </c>
      <c r="D213" t="inlineStr">
        <is>
          <t>VÄSTERBOTTENS LÄN</t>
        </is>
      </c>
      <c r="E213" t="inlineStr">
        <is>
          <t>STORUMAN</t>
        </is>
      </c>
      <c r="G213" t="n">
        <v>62.4</v>
      </c>
      <c r="H213" t="n">
        <v>0</v>
      </c>
      <c r="I213" t="n">
        <v>0</v>
      </c>
      <c r="J213" t="n">
        <v>0</v>
      </c>
      <c r="K213" t="n">
        <v>0</v>
      </c>
      <c r="L213" t="n">
        <v>0</v>
      </c>
      <c r="M213" t="n">
        <v>0</v>
      </c>
      <c r="N213" t="n">
        <v>0</v>
      </c>
      <c r="O213" t="n">
        <v>0</v>
      </c>
      <c r="P213" t="n">
        <v>0</v>
      </c>
      <c r="Q213" t="n">
        <v>0</v>
      </c>
      <c r="R213" s="2" t="inlineStr"/>
    </row>
    <row r="214" ht="15" customHeight="1">
      <c r="A214" t="inlineStr">
        <is>
          <t>A 61672-2020</t>
        </is>
      </c>
      <c r="B214" s="1" t="n">
        <v>44155</v>
      </c>
      <c r="C214" s="1" t="n">
        <v>45707</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63874-2020</t>
        </is>
      </c>
      <c r="B215" s="1" t="n">
        <v>44166</v>
      </c>
      <c r="C215" s="1" t="n">
        <v>45707</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65321-2020</t>
        </is>
      </c>
      <c r="B216" s="1" t="n">
        <v>44169</v>
      </c>
      <c r="C216" s="1" t="n">
        <v>45707</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66232-2020</t>
        </is>
      </c>
      <c r="B217" s="1" t="n">
        <v>44175</v>
      </c>
      <c r="C217" s="1" t="n">
        <v>45707</v>
      </c>
      <c r="D217" t="inlineStr">
        <is>
          <t>VÄSTERBOTTENS LÄN</t>
        </is>
      </c>
      <c r="E217" t="inlineStr">
        <is>
          <t>STORUMAN</t>
        </is>
      </c>
      <c r="G217" t="n">
        <v>0.5</v>
      </c>
      <c r="H217" t="n">
        <v>0</v>
      </c>
      <c r="I217" t="n">
        <v>0</v>
      </c>
      <c r="J217" t="n">
        <v>0</v>
      </c>
      <c r="K217" t="n">
        <v>0</v>
      </c>
      <c r="L217" t="n">
        <v>0</v>
      </c>
      <c r="M217" t="n">
        <v>0</v>
      </c>
      <c r="N217" t="n">
        <v>0</v>
      </c>
      <c r="O217" t="n">
        <v>0</v>
      </c>
      <c r="P217" t="n">
        <v>0</v>
      </c>
      <c r="Q217" t="n">
        <v>0</v>
      </c>
      <c r="R217" s="2" t="inlineStr"/>
    </row>
    <row r="218" ht="15" customHeight="1">
      <c r="A218" t="inlineStr">
        <is>
          <t>A 66786-2020</t>
        </is>
      </c>
      <c r="B218" s="1" t="n">
        <v>44175</v>
      </c>
      <c r="C218" s="1" t="n">
        <v>45707</v>
      </c>
      <c r="D218" t="inlineStr">
        <is>
          <t>VÄSTERBOTTENS LÄN</t>
        </is>
      </c>
      <c r="E218" t="inlineStr">
        <is>
          <t>STORUMAN</t>
        </is>
      </c>
      <c r="G218" t="n">
        <v>1</v>
      </c>
      <c r="H218" t="n">
        <v>0</v>
      </c>
      <c r="I218" t="n">
        <v>0</v>
      </c>
      <c r="J218" t="n">
        <v>0</v>
      </c>
      <c r="K218" t="n">
        <v>0</v>
      </c>
      <c r="L218" t="n">
        <v>0</v>
      </c>
      <c r="M218" t="n">
        <v>0</v>
      </c>
      <c r="N218" t="n">
        <v>0</v>
      </c>
      <c r="O218" t="n">
        <v>0</v>
      </c>
      <c r="P218" t="n">
        <v>0</v>
      </c>
      <c r="Q218" t="n">
        <v>0</v>
      </c>
      <c r="R218" s="2" t="inlineStr"/>
    </row>
    <row r="219" ht="15" customHeight="1">
      <c r="A219" t="inlineStr">
        <is>
          <t>A 67587-2020</t>
        </is>
      </c>
      <c r="B219" s="1" t="n">
        <v>44181</v>
      </c>
      <c r="C219" s="1" t="n">
        <v>45707</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68499-2020</t>
        </is>
      </c>
      <c r="B220" s="1" t="n">
        <v>44186</v>
      </c>
      <c r="C220" s="1" t="n">
        <v>45707</v>
      </c>
      <c r="D220" t="inlineStr">
        <is>
          <t>VÄSTERBOTTENS LÄN</t>
        </is>
      </c>
      <c r="E220" t="inlineStr">
        <is>
          <t>STORUMAN</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68494-2020</t>
        </is>
      </c>
      <c r="B221" s="1" t="n">
        <v>44186</v>
      </c>
      <c r="C221" s="1" t="n">
        <v>45707</v>
      </c>
      <c r="D221" t="inlineStr">
        <is>
          <t>VÄSTERBOTTENS LÄN</t>
        </is>
      </c>
      <c r="E221" t="inlineStr">
        <is>
          <t>STORUMAN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68505-2020</t>
        </is>
      </c>
      <c r="B222" s="1" t="n">
        <v>44186</v>
      </c>
      <c r="C222" s="1" t="n">
        <v>45707</v>
      </c>
      <c r="D222" t="inlineStr">
        <is>
          <t>VÄSTERBOTTENS LÄN</t>
        </is>
      </c>
      <c r="E222" t="inlineStr">
        <is>
          <t>STORUMAN</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3803-2021</t>
        </is>
      </c>
      <c r="B223" s="1" t="n">
        <v>44221</v>
      </c>
      <c r="C223" s="1" t="n">
        <v>45707</v>
      </c>
      <c r="D223" t="inlineStr">
        <is>
          <t>VÄSTERBOTTENS LÄN</t>
        </is>
      </c>
      <c r="E223" t="inlineStr">
        <is>
          <t>STORUMAN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6869-2021</t>
        </is>
      </c>
      <c r="B224" s="1" t="n">
        <v>44237</v>
      </c>
      <c r="C224" s="1" t="n">
        <v>45707</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7519-2021</t>
        </is>
      </c>
      <c r="B225" s="1" t="n">
        <v>44238</v>
      </c>
      <c r="C225" s="1" t="n">
        <v>45707</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8977-2021</t>
        </is>
      </c>
      <c r="B226" s="1" t="n">
        <v>44246</v>
      </c>
      <c r="C226" s="1" t="n">
        <v>45707</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10422-2021</t>
        </is>
      </c>
      <c r="B227" s="1" t="n">
        <v>44257</v>
      </c>
      <c r="C227" s="1" t="n">
        <v>45707</v>
      </c>
      <c r="D227" t="inlineStr">
        <is>
          <t>VÄSTERBOTTENS LÄN</t>
        </is>
      </c>
      <c r="E227" t="inlineStr">
        <is>
          <t>STORUMAN</t>
        </is>
      </c>
      <c r="G227" t="n">
        <v>18</v>
      </c>
      <c r="H227" t="n">
        <v>0</v>
      </c>
      <c r="I227" t="n">
        <v>0</v>
      </c>
      <c r="J227" t="n">
        <v>0</v>
      </c>
      <c r="K227" t="n">
        <v>0</v>
      </c>
      <c r="L227" t="n">
        <v>0</v>
      </c>
      <c r="M227" t="n">
        <v>0</v>
      </c>
      <c r="N227" t="n">
        <v>0</v>
      </c>
      <c r="O227" t="n">
        <v>0</v>
      </c>
      <c r="P227" t="n">
        <v>0</v>
      </c>
      <c r="Q227" t="n">
        <v>0</v>
      </c>
      <c r="R227" s="2" t="inlineStr"/>
    </row>
    <row r="228" ht="15" customHeight="1">
      <c r="A228" t="inlineStr">
        <is>
          <t>A 10500-2021</t>
        </is>
      </c>
      <c r="B228" s="1" t="n">
        <v>44257</v>
      </c>
      <c r="C228" s="1" t="n">
        <v>45707</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10481-2021</t>
        </is>
      </c>
      <c r="B229" s="1" t="n">
        <v>44257</v>
      </c>
      <c r="C229" s="1" t="n">
        <v>45707</v>
      </c>
      <c r="D229" t="inlineStr">
        <is>
          <t>VÄSTERBOTTENS LÄN</t>
        </is>
      </c>
      <c r="E229" t="inlineStr">
        <is>
          <t>STORUMAN</t>
        </is>
      </c>
      <c r="G229" t="n">
        <v>19.7</v>
      </c>
      <c r="H229" t="n">
        <v>0</v>
      </c>
      <c r="I229" t="n">
        <v>0</v>
      </c>
      <c r="J229" t="n">
        <v>0</v>
      </c>
      <c r="K229" t="n">
        <v>0</v>
      </c>
      <c r="L229" t="n">
        <v>0</v>
      </c>
      <c r="M229" t="n">
        <v>0</v>
      </c>
      <c r="N229" t="n">
        <v>0</v>
      </c>
      <c r="O229" t="n">
        <v>0</v>
      </c>
      <c r="P229" t="n">
        <v>0</v>
      </c>
      <c r="Q229" t="n">
        <v>0</v>
      </c>
      <c r="R229" s="2" t="inlineStr"/>
    </row>
    <row r="230" ht="15" customHeight="1">
      <c r="A230" t="inlineStr">
        <is>
          <t>A 10636-2021</t>
        </is>
      </c>
      <c r="B230" s="1" t="n">
        <v>44258</v>
      </c>
      <c r="C230" s="1" t="n">
        <v>45707</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11114-2021</t>
        </is>
      </c>
      <c r="B231" s="1" t="n">
        <v>44260</v>
      </c>
      <c r="C231" s="1" t="n">
        <v>45707</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12314-2021</t>
        </is>
      </c>
      <c r="B232" s="1" t="n">
        <v>44266</v>
      </c>
      <c r="C232" s="1" t="n">
        <v>45707</v>
      </c>
      <c r="D232" t="inlineStr">
        <is>
          <t>VÄSTERBOTTENS LÄN</t>
        </is>
      </c>
      <c r="E232" t="inlineStr">
        <is>
          <t>STORUMAN</t>
        </is>
      </c>
      <c r="G232" t="n">
        <v>5.6</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45707</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12896-2021</t>
        </is>
      </c>
      <c r="B234" s="1" t="n">
        <v>44270</v>
      </c>
      <c r="C234" s="1" t="n">
        <v>45707</v>
      </c>
      <c r="D234" t="inlineStr">
        <is>
          <t>VÄSTERBOTTENS LÄN</t>
        </is>
      </c>
      <c r="E234" t="inlineStr">
        <is>
          <t>STORUMAN</t>
        </is>
      </c>
      <c r="G234" t="n">
        <v>19.9</v>
      </c>
      <c r="H234" t="n">
        <v>0</v>
      </c>
      <c r="I234" t="n">
        <v>0</v>
      </c>
      <c r="J234" t="n">
        <v>0</v>
      </c>
      <c r="K234" t="n">
        <v>0</v>
      </c>
      <c r="L234" t="n">
        <v>0</v>
      </c>
      <c r="M234" t="n">
        <v>0</v>
      </c>
      <c r="N234" t="n">
        <v>0</v>
      </c>
      <c r="O234" t="n">
        <v>0</v>
      </c>
      <c r="P234" t="n">
        <v>0</v>
      </c>
      <c r="Q234" t="n">
        <v>0</v>
      </c>
      <c r="R234" s="2" t="inlineStr"/>
    </row>
    <row r="235" ht="15" customHeight="1">
      <c r="A235" t="inlineStr">
        <is>
          <t>A 12877-2021</t>
        </is>
      </c>
      <c r="B235" s="1" t="n">
        <v>44270</v>
      </c>
      <c r="C235" s="1" t="n">
        <v>45707</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13568-2021</t>
        </is>
      </c>
      <c r="B236" s="1" t="n">
        <v>44273</v>
      </c>
      <c r="C236" s="1" t="n">
        <v>45707</v>
      </c>
      <c r="D236" t="inlineStr">
        <is>
          <t>VÄSTERBOTTENS LÄN</t>
        </is>
      </c>
      <c r="E236" t="inlineStr">
        <is>
          <t>STORUMAN</t>
        </is>
      </c>
      <c r="G236" t="n">
        <v>0.6</v>
      </c>
      <c r="H236" t="n">
        <v>0</v>
      </c>
      <c r="I236" t="n">
        <v>0</v>
      </c>
      <c r="J236" t="n">
        <v>0</v>
      </c>
      <c r="K236" t="n">
        <v>0</v>
      </c>
      <c r="L236" t="n">
        <v>0</v>
      </c>
      <c r="M236" t="n">
        <v>0</v>
      </c>
      <c r="N236" t="n">
        <v>0</v>
      </c>
      <c r="O236" t="n">
        <v>0</v>
      </c>
      <c r="P236" t="n">
        <v>0</v>
      </c>
      <c r="Q236" t="n">
        <v>0</v>
      </c>
      <c r="R236" s="2" t="inlineStr"/>
    </row>
    <row r="237" ht="15" customHeight="1">
      <c r="A237" t="inlineStr">
        <is>
          <t>A 13565-2021</t>
        </is>
      </c>
      <c r="B237" s="1" t="n">
        <v>44273</v>
      </c>
      <c r="C237" s="1" t="n">
        <v>45707</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14389-2021</t>
        </is>
      </c>
      <c r="B238" s="1" t="n">
        <v>44279</v>
      </c>
      <c r="C238" s="1" t="n">
        <v>45707</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17125-2021</t>
        </is>
      </c>
      <c r="B239" s="1" t="n">
        <v>44295</v>
      </c>
      <c r="C239" s="1" t="n">
        <v>45707</v>
      </c>
      <c r="D239" t="inlineStr">
        <is>
          <t>VÄSTERBOTTENS LÄN</t>
        </is>
      </c>
      <c r="E239" t="inlineStr">
        <is>
          <t>STORUMAN</t>
        </is>
      </c>
      <c r="G239" t="n">
        <v>0.7</v>
      </c>
      <c r="H239" t="n">
        <v>0</v>
      </c>
      <c r="I239" t="n">
        <v>0</v>
      </c>
      <c r="J239" t="n">
        <v>0</v>
      </c>
      <c r="K239" t="n">
        <v>0</v>
      </c>
      <c r="L239" t="n">
        <v>0</v>
      </c>
      <c r="M239" t="n">
        <v>0</v>
      </c>
      <c r="N239" t="n">
        <v>0</v>
      </c>
      <c r="O239" t="n">
        <v>0</v>
      </c>
      <c r="P239" t="n">
        <v>0</v>
      </c>
      <c r="Q239" t="n">
        <v>0</v>
      </c>
      <c r="R239" s="2" t="inlineStr"/>
    </row>
    <row r="240" ht="15" customHeight="1">
      <c r="A240" t="inlineStr">
        <is>
          <t>A 17220-2021</t>
        </is>
      </c>
      <c r="B240" s="1" t="n">
        <v>44298</v>
      </c>
      <c r="C240" s="1" t="n">
        <v>45707</v>
      </c>
      <c r="D240" t="inlineStr">
        <is>
          <t>VÄSTERBOTTENS LÄN</t>
        </is>
      </c>
      <c r="E240" t="inlineStr">
        <is>
          <t>STORUMAN</t>
        </is>
      </c>
      <c r="G240" t="n">
        <v>29.4</v>
      </c>
      <c r="H240" t="n">
        <v>0</v>
      </c>
      <c r="I240" t="n">
        <v>0</v>
      </c>
      <c r="J240" t="n">
        <v>0</v>
      </c>
      <c r="K240" t="n">
        <v>0</v>
      </c>
      <c r="L240" t="n">
        <v>0</v>
      </c>
      <c r="M240" t="n">
        <v>0</v>
      </c>
      <c r="N240" t="n">
        <v>0</v>
      </c>
      <c r="O240" t="n">
        <v>0</v>
      </c>
      <c r="P240" t="n">
        <v>0</v>
      </c>
      <c r="Q240" t="n">
        <v>0</v>
      </c>
      <c r="R240" s="2" t="inlineStr"/>
    </row>
    <row r="241" ht="15" customHeight="1">
      <c r="A241" t="inlineStr">
        <is>
          <t>A 19138-2021</t>
        </is>
      </c>
      <c r="B241" s="1" t="n">
        <v>44307</v>
      </c>
      <c r="C241" s="1" t="n">
        <v>45707</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19652-2021</t>
        </is>
      </c>
      <c r="B242" s="1" t="n">
        <v>44312</v>
      </c>
      <c r="C242" s="1" t="n">
        <v>45707</v>
      </c>
      <c r="D242" t="inlineStr">
        <is>
          <t>VÄSTERBOTTENS LÄN</t>
        </is>
      </c>
      <c r="E242" t="inlineStr">
        <is>
          <t>STORUMAN</t>
        </is>
      </c>
      <c r="G242" t="n">
        <v>26.1</v>
      </c>
      <c r="H242" t="n">
        <v>0</v>
      </c>
      <c r="I242" t="n">
        <v>0</v>
      </c>
      <c r="J242" t="n">
        <v>0</v>
      </c>
      <c r="K242" t="n">
        <v>0</v>
      </c>
      <c r="L242" t="n">
        <v>0</v>
      </c>
      <c r="M242" t="n">
        <v>0</v>
      </c>
      <c r="N242" t="n">
        <v>0</v>
      </c>
      <c r="O242" t="n">
        <v>0</v>
      </c>
      <c r="P242" t="n">
        <v>0</v>
      </c>
      <c r="Q242" t="n">
        <v>0</v>
      </c>
      <c r="R242" s="2" t="inlineStr"/>
    </row>
    <row r="243" ht="15" customHeight="1">
      <c r="A243" t="inlineStr">
        <is>
          <t>A 19667-2021</t>
        </is>
      </c>
      <c r="B243" s="1" t="n">
        <v>44312</v>
      </c>
      <c r="C243" s="1" t="n">
        <v>45707</v>
      </c>
      <c r="D243" t="inlineStr">
        <is>
          <t>VÄSTERBOTTENS LÄN</t>
        </is>
      </c>
      <c r="E243" t="inlineStr">
        <is>
          <t>STORUMAN</t>
        </is>
      </c>
      <c r="G243" t="n">
        <v>3.8</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45707</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45707</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29358-2021</t>
        </is>
      </c>
      <c r="B246" s="1" t="n">
        <v>44361</v>
      </c>
      <c r="C246" s="1" t="n">
        <v>45707</v>
      </c>
      <c r="D246" t="inlineStr">
        <is>
          <t>VÄSTERBOTTENS LÄN</t>
        </is>
      </c>
      <c r="E246" t="inlineStr">
        <is>
          <t>STORUMAN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29592-2021</t>
        </is>
      </c>
      <c r="B247" s="1" t="n">
        <v>44362</v>
      </c>
      <c r="C247" s="1" t="n">
        <v>45707</v>
      </c>
      <c r="D247" t="inlineStr">
        <is>
          <t>VÄSTERBOTTENS LÄN</t>
        </is>
      </c>
      <c r="E247" t="inlineStr">
        <is>
          <t>STORUMAN</t>
        </is>
      </c>
      <c r="G247" t="n">
        <v>2.2</v>
      </c>
      <c r="H247" t="n">
        <v>0</v>
      </c>
      <c r="I247" t="n">
        <v>0</v>
      </c>
      <c r="J247" t="n">
        <v>0</v>
      </c>
      <c r="K247" t="n">
        <v>0</v>
      </c>
      <c r="L247" t="n">
        <v>0</v>
      </c>
      <c r="M247" t="n">
        <v>0</v>
      </c>
      <c r="N247" t="n">
        <v>0</v>
      </c>
      <c r="O247" t="n">
        <v>0</v>
      </c>
      <c r="P247" t="n">
        <v>0</v>
      </c>
      <c r="Q247" t="n">
        <v>0</v>
      </c>
      <c r="R247" s="2" t="inlineStr"/>
    </row>
    <row r="248" ht="15" customHeight="1">
      <c r="A248" t="inlineStr">
        <is>
          <t>A 30437-2021</t>
        </is>
      </c>
      <c r="B248" s="1" t="n">
        <v>44364</v>
      </c>
      <c r="C248" s="1" t="n">
        <v>45707</v>
      </c>
      <c r="D248" t="inlineStr">
        <is>
          <t>VÄSTERBOTTENS LÄN</t>
        </is>
      </c>
      <c r="E248" t="inlineStr">
        <is>
          <t>STORUMAN</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30434-2021</t>
        </is>
      </c>
      <c r="B249" s="1" t="n">
        <v>44364</v>
      </c>
      <c r="C249" s="1" t="n">
        <v>45707</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30634-2021</t>
        </is>
      </c>
      <c r="B250" s="1" t="n">
        <v>44365</v>
      </c>
      <c r="C250" s="1" t="n">
        <v>45707</v>
      </c>
      <c r="D250" t="inlineStr">
        <is>
          <t>VÄSTERBOTTENS LÄN</t>
        </is>
      </c>
      <c r="E250" t="inlineStr">
        <is>
          <t>STORUMAN</t>
        </is>
      </c>
      <c r="F250" t="inlineStr">
        <is>
          <t>Holmen skog AB</t>
        </is>
      </c>
      <c r="G250" t="n">
        <v>19.7</v>
      </c>
      <c r="H250" t="n">
        <v>0</v>
      </c>
      <c r="I250" t="n">
        <v>0</v>
      </c>
      <c r="J250" t="n">
        <v>0</v>
      </c>
      <c r="K250" t="n">
        <v>0</v>
      </c>
      <c r="L250" t="n">
        <v>0</v>
      </c>
      <c r="M250" t="n">
        <v>0</v>
      </c>
      <c r="N250" t="n">
        <v>0</v>
      </c>
      <c r="O250" t="n">
        <v>0</v>
      </c>
      <c r="P250" t="n">
        <v>0</v>
      </c>
      <c r="Q250" t="n">
        <v>0</v>
      </c>
      <c r="R250" s="2" t="inlineStr"/>
    </row>
    <row r="251" ht="15" customHeight="1">
      <c r="A251" t="inlineStr">
        <is>
          <t>A 33351-2021</t>
        </is>
      </c>
      <c r="B251" s="1" t="n">
        <v>44377</v>
      </c>
      <c r="C251" s="1" t="n">
        <v>45707</v>
      </c>
      <c r="D251" t="inlineStr">
        <is>
          <t>VÄSTERBOTTENS LÄN</t>
        </is>
      </c>
      <c r="E251" t="inlineStr">
        <is>
          <t>STORUMAN</t>
        </is>
      </c>
      <c r="F251" t="inlineStr">
        <is>
          <t>Allmännings- och besparingsskogar</t>
        </is>
      </c>
      <c r="G251" t="n">
        <v>34</v>
      </c>
      <c r="H251" t="n">
        <v>0</v>
      </c>
      <c r="I251" t="n">
        <v>0</v>
      </c>
      <c r="J251" t="n">
        <v>0</v>
      </c>
      <c r="K251" t="n">
        <v>0</v>
      </c>
      <c r="L251" t="n">
        <v>0</v>
      </c>
      <c r="M251" t="n">
        <v>0</v>
      </c>
      <c r="N251" t="n">
        <v>0</v>
      </c>
      <c r="O251" t="n">
        <v>0</v>
      </c>
      <c r="P251" t="n">
        <v>0</v>
      </c>
      <c r="Q251" t="n">
        <v>0</v>
      </c>
      <c r="R251" s="2" t="inlineStr"/>
    </row>
    <row r="252" ht="15" customHeight="1">
      <c r="A252" t="inlineStr">
        <is>
          <t>A 33341-2021</t>
        </is>
      </c>
      <c r="B252" s="1" t="n">
        <v>44377</v>
      </c>
      <c r="C252" s="1" t="n">
        <v>45707</v>
      </c>
      <c r="D252" t="inlineStr">
        <is>
          <t>VÄSTERBOTTENS LÄN</t>
        </is>
      </c>
      <c r="E252" t="inlineStr">
        <is>
          <t>STORUMAN</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36719-2021</t>
        </is>
      </c>
      <c r="B253" s="1" t="n">
        <v>44392</v>
      </c>
      <c r="C253" s="1" t="n">
        <v>45707</v>
      </c>
      <c r="D253" t="inlineStr">
        <is>
          <t>VÄSTERBOTTENS LÄN</t>
        </is>
      </c>
      <c r="E253" t="inlineStr">
        <is>
          <t>STORUMAN</t>
        </is>
      </c>
      <c r="F253" t="inlineStr">
        <is>
          <t>Sveaskog</t>
        </is>
      </c>
      <c r="G253" t="n">
        <v>4.4</v>
      </c>
      <c r="H253" t="n">
        <v>0</v>
      </c>
      <c r="I253" t="n">
        <v>0</v>
      </c>
      <c r="J253" t="n">
        <v>0</v>
      </c>
      <c r="K253" t="n">
        <v>0</v>
      </c>
      <c r="L253" t="n">
        <v>0</v>
      </c>
      <c r="M253" t="n">
        <v>0</v>
      </c>
      <c r="N253" t="n">
        <v>0</v>
      </c>
      <c r="O253" t="n">
        <v>0</v>
      </c>
      <c r="P253" t="n">
        <v>0</v>
      </c>
      <c r="Q253" t="n">
        <v>0</v>
      </c>
      <c r="R253" s="2" t="inlineStr"/>
    </row>
    <row r="254" ht="15" customHeight="1">
      <c r="A254" t="inlineStr">
        <is>
          <t>A 36711-2021</t>
        </is>
      </c>
      <c r="B254" s="1" t="n">
        <v>44392</v>
      </c>
      <c r="C254" s="1" t="n">
        <v>45707</v>
      </c>
      <c r="D254" t="inlineStr">
        <is>
          <t>VÄSTERBOTTENS LÄN</t>
        </is>
      </c>
      <c r="E254" t="inlineStr">
        <is>
          <t>STORUMAN</t>
        </is>
      </c>
      <c r="G254" t="n">
        <v>24.7</v>
      </c>
      <c r="H254" t="n">
        <v>0</v>
      </c>
      <c r="I254" t="n">
        <v>0</v>
      </c>
      <c r="J254" t="n">
        <v>0</v>
      </c>
      <c r="K254" t="n">
        <v>0</v>
      </c>
      <c r="L254" t="n">
        <v>0</v>
      </c>
      <c r="M254" t="n">
        <v>0</v>
      </c>
      <c r="N254" t="n">
        <v>0</v>
      </c>
      <c r="O254" t="n">
        <v>0</v>
      </c>
      <c r="P254" t="n">
        <v>0</v>
      </c>
      <c r="Q254" t="n">
        <v>0</v>
      </c>
      <c r="R254" s="2" t="inlineStr"/>
    </row>
    <row r="255" ht="15" customHeight="1">
      <c r="A255" t="inlineStr">
        <is>
          <t>A 36918-2021</t>
        </is>
      </c>
      <c r="B255" s="1" t="n">
        <v>44393</v>
      </c>
      <c r="C255" s="1" t="n">
        <v>45707</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45707</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39973-2021</t>
        </is>
      </c>
      <c r="B257" s="1" t="n">
        <v>44417</v>
      </c>
      <c r="C257" s="1" t="n">
        <v>45707</v>
      </c>
      <c r="D257" t="inlineStr">
        <is>
          <t>VÄSTERBOTTENS LÄN</t>
        </is>
      </c>
      <c r="E257" t="inlineStr">
        <is>
          <t>STORUMAN</t>
        </is>
      </c>
      <c r="G257" t="n">
        <v>34.6</v>
      </c>
      <c r="H257" t="n">
        <v>0</v>
      </c>
      <c r="I257" t="n">
        <v>0</v>
      </c>
      <c r="J257" t="n">
        <v>0</v>
      </c>
      <c r="K257" t="n">
        <v>0</v>
      </c>
      <c r="L257" t="n">
        <v>0</v>
      </c>
      <c r="M257" t="n">
        <v>0</v>
      </c>
      <c r="N257" t="n">
        <v>0</v>
      </c>
      <c r="O257" t="n">
        <v>0</v>
      </c>
      <c r="P257" t="n">
        <v>0</v>
      </c>
      <c r="Q257" t="n">
        <v>0</v>
      </c>
      <c r="R257" s="2" t="inlineStr"/>
    </row>
    <row r="258" ht="15" customHeight="1">
      <c r="A258" t="inlineStr">
        <is>
          <t>A 42331-2021</t>
        </is>
      </c>
      <c r="B258" s="1" t="n">
        <v>44427</v>
      </c>
      <c r="C258" s="1" t="n">
        <v>45707</v>
      </c>
      <c r="D258" t="inlineStr">
        <is>
          <t>VÄSTERBOTTENS LÄN</t>
        </is>
      </c>
      <c r="E258" t="inlineStr">
        <is>
          <t>STORUMAN</t>
        </is>
      </c>
      <c r="G258" t="n">
        <v>10.8</v>
      </c>
      <c r="H258" t="n">
        <v>0</v>
      </c>
      <c r="I258" t="n">
        <v>0</v>
      </c>
      <c r="J258" t="n">
        <v>0</v>
      </c>
      <c r="K258" t="n">
        <v>0</v>
      </c>
      <c r="L258" t="n">
        <v>0</v>
      </c>
      <c r="M258" t="n">
        <v>0</v>
      </c>
      <c r="N258" t="n">
        <v>0</v>
      </c>
      <c r="O258" t="n">
        <v>0</v>
      </c>
      <c r="P258" t="n">
        <v>0</v>
      </c>
      <c r="Q258" t="n">
        <v>0</v>
      </c>
      <c r="R258" s="2" t="inlineStr"/>
    </row>
    <row r="259" ht="15" customHeight="1">
      <c r="A259" t="inlineStr">
        <is>
          <t>A 43202-2021</t>
        </is>
      </c>
      <c r="B259" s="1" t="n">
        <v>44431</v>
      </c>
      <c r="C259" s="1" t="n">
        <v>45707</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45766-2021</t>
        </is>
      </c>
      <c r="B260" s="1" t="n">
        <v>44441</v>
      </c>
      <c r="C260" s="1" t="n">
        <v>45707</v>
      </c>
      <c r="D260" t="inlineStr">
        <is>
          <t>VÄSTERBOTTENS LÄN</t>
        </is>
      </c>
      <c r="E260" t="inlineStr">
        <is>
          <t>STORUMAN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46366-2021</t>
        </is>
      </c>
      <c r="B261" s="1" t="n">
        <v>44442</v>
      </c>
      <c r="C261" s="1" t="n">
        <v>45707</v>
      </c>
      <c r="D261" t="inlineStr">
        <is>
          <t>VÄSTERBOTTENS LÄN</t>
        </is>
      </c>
      <c r="E261" t="inlineStr">
        <is>
          <t>STORUMAN</t>
        </is>
      </c>
      <c r="G261" t="n">
        <v>5.3</v>
      </c>
      <c r="H261" t="n">
        <v>0</v>
      </c>
      <c r="I261" t="n">
        <v>0</v>
      </c>
      <c r="J261" t="n">
        <v>0</v>
      </c>
      <c r="K261" t="n">
        <v>0</v>
      </c>
      <c r="L261" t="n">
        <v>0</v>
      </c>
      <c r="M261" t="n">
        <v>0</v>
      </c>
      <c r="N261" t="n">
        <v>0</v>
      </c>
      <c r="O261" t="n">
        <v>0</v>
      </c>
      <c r="P261" t="n">
        <v>0</v>
      </c>
      <c r="Q261" t="n">
        <v>0</v>
      </c>
      <c r="R261" s="2" t="inlineStr"/>
    </row>
    <row r="262" ht="15" customHeight="1">
      <c r="A262" t="inlineStr">
        <is>
          <t>A 46780-2021</t>
        </is>
      </c>
      <c r="B262" s="1" t="n">
        <v>44445</v>
      </c>
      <c r="C262" s="1" t="n">
        <v>45707</v>
      </c>
      <c r="D262" t="inlineStr">
        <is>
          <t>VÄSTERBOTTENS LÄN</t>
        </is>
      </c>
      <c r="E262" t="inlineStr">
        <is>
          <t>STORUMAN</t>
        </is>
      </c>
      <c r="G262" t="n">
        <v>2.1</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v>
      </c>
      <c r="C263" s="1" t="n">
        <v>45707</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48347-2021</t>
        </is>
      </c>
      <c r="B264" s="1" t="n">
        <v>44451</v>
      </c>
      <c r="C264" s="1" t="n">
        <v>45707</v>
      </c>
      <c r="D264" t="inlineStr">
        <is>
          <t>VÄSTERBOTTENS LÄN</t>
        </is>
      </c>
      <c r="E264" t="inlineStr">
        <is>
          <t>STORUMAN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48346-2021</t>
        </is>
      </c>
      <c r="B265" s="1" t="n">
        <v>44451</v>
      </c>
      <c r="C265" s="1" t="n">
        <v>45707</v>
      </c>
      <c r="D265" t="inlineStr">
        <is>
          <t>VÄSTERBOTTENS LÄN</t>
        </is>
      </c>
      <c r="E265" t="inlineStr">
        <is>
          <t>STORUMAN</t>
        </is>
      </c>
      <c r="F265" t="inlineStr">
        <is>
          <t>Sveaskog</t>
        </is>
      </c>
      <c r="G265" t="n">
        <v>49.4</v>
      </c>
      <c r="H265" t="n">
        <v>0</v>
      </c>
      <c r="I265" t="n">
        <v>0</v>
      </c>
      <c r="J265" t="n">
        <v>0</v>
      </c>
      <c r="K265" t="n">
        <v>0</v>
      </c>
      <c r="L265" t="n">
        <v>0</v>
      </c>
      <c r="M265" t="n">
        <v>0</v>
      </c>
      <c r="N265" t="n">
        <v>0</v>
      </c>
      <c r="O265" t="n">
        <v>0</v>
      </c>
      <c r="P265" t="n">
        <v>0</v>
      </c>
      <c r="Q265" t="n">
        <v>0</v>
      </c>
      <c r="R265" s="2" t="inlineStr"/>
    </row>
    <row r="266" ht="15" customHeight="1">
      <c r="A266" t="inlineStr">
        <is>
          <t>A 51981-2021</t>
        </is>
      </c>
      <c r="B266" s="1" t="n">
        <v>44462</v>
      </c>
      <c r="C266" s="1" t="n">
        <v>45707</v>
      </c>
      <c r="D266" t="inlineStr">
        <is>
          <t>VÄSTERBOTTENS LÄN</t>
        </is>
      </c>
      <c r="E266" t="inlineStr">
        <is>
          <t>STORUMAN</t>
        </is>
      </c>
      <c r="G266" t="n">
        <v>20.9</v>
      </c>
      <c r="H266" t="n">
        <v>0</v>
      </c>
      <c r="I266" t="n">
        <v>0</v>
      </c>
      <c r="J266" t="n">
        <v>0</v>
      </c>
      <c r="K266" t="n">
        <v>0</v>
      </c>
      <c r="L266" t="n">
        <v>0</v>
      </c>
      <c r="M266" t="n">
        <v>0</v>
      </c>
      <c r="N266" t="n">
        <v>0</v>
      </c>
      <c r="O266" t="n">
        <v>0</v>
      </c>
      <c r="P266" t="n">
        <v>0</v>
      </c>
      <c r="Q266" t="n">
        <v>0</v>
      </c>
      <c r="R266" s="2" t="inlineStr"/>
    </row>
    <row r="267" ht="15" customHeight="1">
      <c r="A267" t="inlineStr">
        <is>
          <t>A 52922-2021</t>
        </is>
      </c>
      <c r="B267" s="1" t="n">
        <v>44466</v>
      </c>
      <c r="C267" s="1" t="n">
        <v>45707</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52911-2021</t>
        </is>
      </c>
      <c r="B268" s="1" t="n">
        <v>44466</v>
      </c>
      <c r="C268" s="1" t="n">
        <v>45707</v>
      </c>
      <c r="D268" t="inlineStr">
        <is>
          <t>VÄSTERBOTTENS LÄN</t>
        </is>
      </c>
      <c r="E268" t="inlineStr">
        <is>
          <t>STORUMAN</t>
        </is>
      </c>
      <c r="G268" t="n">
        <v>1.6</v>
      </c>
      <c r="H268" t="n">
        <v>0</v>
      </c>
      <c r="I268" t="n">
        <v>0</v>
      </c>
      <c r="J268" t="n">
        <v>0</v>
      </c>
      <c r="K268" t="n">
        <v>0</v>
      </c>
      <c r="L268" t="n">
        <v>0</v>
      </c>
      <c r="M268" t="n">
        <v>0</v>
      </c>
      <c r="N268" t="n">
        <v>0</v>
      </c>
      <c r="O268" t="n">
        <v>0</v>
      </c>
      <c r="P268" t="n">
        <v>0</v>
      </c>
      <c r="Q268" t="n">
        <v>0</v>
      </c>
      <c r="R268" s="2" t="inlineStr"/>
    </row>
    <row r="269" ht="15" customHeight="1">
      <c r="A269" t="inlineStr">
        <is>
          <t>A 54792-2021</t>
        </is>
      </c>
      <c r="B269" s="1" t="n">
        <v>44474</v>
      </c>
      <c r="C269" s="1" t="n">
        <v>45707</v>
      </c>
      <c r="D269" t="inlineStr">
        <is>
          <t>VÄSTERBOTTENS LÄN</t>
        </is>
      </c>
      <c r="E269" t="inlineStr">
        <is>
          <t>STORUMAN</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54807-2021</t>
        </is>
      </c>
      <c r="B270" s="1" t="n">
        <v>44474</v>
      </c>
      <c r="C270" s="1" t="n">
        <v>45707</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54796-2021</t>
        </is>
      </c>
      <c r="B271" s="1" t="n">
        <v>44474</v>
      </c>
      <c r="C271" s="1" t="n">
        <v>45707</v>
      </c>
      <c r="D271" t="inlineStr">
        <is>
          <t>VÄSTERBOTTENS LÄN</t>
        </is>
      </c>
      <c r="E271" t="inlineStr">
        <is>
          <t>STORUMAN</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45707</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45707</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56533-2021</t>
        </is>
      </c>
      <c r="B274" s="1" t="n">
        <v>44480</v>
      </c>
      <c r="C274" s="1" t="n">
        <v>45707</v>
      </c>
      <c r="D274" t="inlineStr">
        <is>
          <t>VÄSTERBOTTENS LÄN</t>
        </is>
      </c>
      <c r="E274" t="inlineStr">
        <is>
          <t>STORUMAN</t>
        </is>
      </c>
      <c r="G274" t="n">
        <v>19.4</v>
      </c>
      <c r="H274" t="n">
        <v>0</v>
      </c>
      <c r="I274" t="n">
        <v>0</v>
      </c>
      <c r="J274" t="n">
        <v>0</v>
      </c>
      <c r="K274" t="n">
        <v>0</v>
      </c>
      <c r="L274" t="n">
        <v>0</v>
      </c>
      <c r="M274" t="n">
        <v>0</v>
      </c>
      <c r="N274" t="n">
        <v>0</v>
      </c>
      <c r="O274" t="n">
        <v>0</v>
      </c>
      <c r="P274" t="n">
        <v>0</v>
      </c>
      <c r="Q274" t="n">
        <v>0</v>
      </c>
      <c r="R274" s="2" t="inlineStr"/>
    </row>
    <row r="275" ht="15" customHeight="1">
      <c r="A275" t="inlineStr">
        <is>
          <t>A 56879-2021</t>
        </is>
      </c>
      <c r="B275" s="1" t="n">
        <v>44481</v>
      </c>
      <c r="C275" s="1" t="n">
        <v>45707</v>
      </c>
      <c r="D275" t="inlineStr">
        <is>
          <t>VÄSTERBOTTENS LÄN</t>
        </is>
      </c>
      <c r="E275" t="inlineStr">
        <is>
          <t>STORUMAN</t>
        </is>
      </c>
      <c r="G275" t="n">
        <v>32.2</v>
      </c>
      <c r="H275" t="n">
        <v>0</v>
      </c>
      <c r="I275" t="n">
        <v>0</v>
      </c>
      <c r="J275" t="n">
        <v>0</v>
      </c>
      <c r="K275" t="n">
        <v>0</v>
      </c>
      <c r="L275" t="n">
        <v>0</v>
      </c>
      <c r="M275" t="n">
        <v>0</v>
      </c>
      <c r="N275" t="n">
        <v>0</v>
      </c>
      <c r="O275" t="n">
        <v>0</v>
      </c>
      <c r="P275" t="n">
        <v>0</v>
      </c>
      <c r="Q275" t="n">
        <v>0</v>
      </c>
      <c r="R275" s="2" t="inlineStr"/>
    </row>
    <row r="276" ht="15" customHeight="1">
      <c r="A276" t="inlineStr">
        <is>
          <t>A 58428-2021</t>
        </is>
      </c>
      <c r="B276" s="1" t="n">
        <v>44488</v>
      </c>
      <c r="C276" s="1" t="n">
        <v>45707</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61431-2021</t>
        </is>
      </c>
      <c r="B277" s="1" t="n">
        <v>44500</v>
      </c>
      <c r="C277" s="1" t="n">
        <v>45707</v>
      </c>
      <c r="D277" t="inlineStr">
        <is>
          <t>VÄSTERBOTTENS LÄN</t>
        </is>
      </c>
      <c r="E277" t="inlineStr">
        <is>
          <t>STORUMAN</t>
        </is>
      </c>
      <c r="F277" t="inlineStr">
        <is>
          <t>SCA</t>
        </is>
      </c>
      <c r="G277" t="n">
        <v>0.2</v>
      </c>
      <c r="H277" t="n">
        <v>0</v>
      </c>
      <c r="I277" t="n">
        <v>0</v>
      </c>
      <c r="J277" t="n">
        <v>0</v>
      </c>
      <c r="K277" t="n">
        <v>0</v>
      </c>
      <c r="L277" t="n">
        <v>0</v>
      </c>
      <c r="M277" t="n">
        <v>0</v>
      </c>
      <c r="N277" t="n">
        <v>0</v>
      </c>
      <c r="O277" t="n">
        <v>0</v>
      </c>
      <c r="P277" t="n">
        <v>0</v>
      </c>
      <c r="Q277" t="n">
        <v>0</v>
      </c>
      <c r="R277" s="2" t="inlineStr"/>
    </row>
    <row r="278" ht="15" customHeight="1">
      <c r="A278" t="inlineStr">
        <is>
          <t>A 65463-2021</t>
        </is>
      </c>
      <c r="B278" s="1" t="n">
        <v>44515</v>
      </c>
      <c r="C278" s="1" t="n">
        <v>45707</v>
      </c>
      <c r="D278" t="inlineStr">
        <is>
          <t>VÄSTERBOTTENS LÄN</t>
        </is>
      </c>
      <c r="E278" t="inlineStr">
        <is>
          <t>STORUMAN</t>
        </is>
      </c>
      <c r="G278" t="n">
        <v>14.6</v>
      </c>
      <c r="H278" t="n">
        <v>0</v>
      </c>
      <c r="I278" t="n">
        <v>0</v>
      </c>
      <c r="J278" t="n">
        <v>0</v>
      </c>
      <c r="K278" t="n">
        <v>0</v>
      </c>
      <c r="L278" t="n">
        <v>0</v>
      </c>
      <c r="M278" t="n">
        <v>0</v>
      </c>
      <c r="N278" t="n">
        <v>0</v>
      </c>
      <c r="O278" t="n">
        <v>0</v>
      </c>
      <c r="P278" t="n">
        <v>0</v>
      </c>
      <c r="Q278" t="n">
        <v>0</v>
      </c>
      <c r="R278" s="2" t="inlineStr"/>
    </row>
    <row r="279" ht="15" customHeight="1">
      <c r="A279" t="inlineStr">
        <is>
          <t>A 66374-2021</t>
        </is>
      </c>
      <c r="B279" s="1" t="n">
        <v>44518</v>
      </c>
      <c r="C279" s="1" t="n">
        <v>45707</v>
      </c>
      <c r="D279" t="inlineStr">
        <is>
          <t>VÄSTERBOTTENS LÄN</t>
        </is>
      </c>
      <c r="E279" t="inlineStr">
        <is>
          <t>STORUMAN</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v>
      </c>
      <c r="C280" s="1" t="n">
        <v>45707</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45707</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72093-2021</t>
        </is>
      </c>
      <c r="B282" s="1" t="n">
        <v>44543</v>
      </c>
      <c r="C282" s="1" t="n">
        <v>45707</v>
      </c>
      <c r="D282" t="inlineStr">
        <is>
          <t>VÄSTERBOTTENS LÄN</t>
        </is>
      </c>
      <c r="E282" t="inlineStr">
        <is>
          <t>STORUMAN</t>
        </is>
      </c>
      <c r="G282" t="n">
        <v>6.4</v>
      </c>
      <c r="H282" t="n">
        <v>0</v>
      </c>
      <c r="I282" t="n">
        <v>0</v>
      </c>
      <c r="J282" t="n">
        <v>0</v>
      </c>
      <c r="K282" t="n">
        <v>0</v>
      </c>
      <c r="L282" t="n">
        <v>0</v>
      </c>
      <c r="M282" t="n">
        <v>0</v>
      </c>
      <c r="N282" t="n">
        <v>0</v>
      </c>
      <c r="O282" t="n">
        <v>0</v>
      </c>
      <c r="P282" t="n">
        <v>0</v>
      </c>
      <c r="Q282" t="n">
        <v>0</v>
      </c>
      <c r="R282" s="2" t="inlineStr"/>
    </row>
    <row r="283" ht="15" customHeight="1">
      <c r="A283" t="inlineStr">
        <is>
          <t>A 72276-2021</t>
        </is>
      </c>
      <c r="B283" s="1" t="n">
        <v>44543</v>
      </c>
      <c r="C283" s="1" t="n">
        <v>45707</v>
      </c>
      <c r="D283" t="inlineStr">
        <is>
          <t>VÄSTERBOTTENS LÄN</t>
        </is>
      </c>
      <c r="E283" t="inlineStr">
        <is>
          <t>STORUMAN</t>
        </is>
      </c>
      <c r="G283" t="n">
        <v>19.8</v>
      </c>
      <c r="H283" t="n">
        <v>0</v>
      </c>
      <c r="I283" t="n">
        <v>0</v>
      </c>
      <c r="J283" t="n">
        <v>0</v>
      </c>
      <c r="K283" t="n">
        <v>0</v>
      </c>
      <c r="L283" t="n">
        <v>0</v>
      </c>
      <c r="M283" t="n">
        <v>0</v>
      </c>
      <c r="N283" t="n">
        <v>0</v>
      </c>
      <c r="O283" t="n">
        <v>0</v>
      </c>
      <c r="P283" t="n">
        <v>0</v>
      </c>
      <c r="Q283" t="n">
        <v>0</v>
      </c>
      <c r="R283" s="2" t="inlineStr"/>
    </row>
    <row r="284" ht="15" customHeight="1">
      <c r="A284" t="inlineStr">
        <is>
          <t>A 72289-2021</t>
        </is>
      </c>
      <c r="B284" s="1" t="n">
        <v>44543</v>
      </c>
      <c r="C284" s="1" t="n">
        <v>45707</v>
      </c>
      <c r="D284" t="inlineStr">
        <is>
          <t>VÄSTERBOTTENS LÄN</t>
        </is>
      </c>
      <c r="E284" t="inlineStr">
        <is>
          <t>STORUMAN</t>
        </is>
      </c>
      <c r="G284" t="n">
        <v>19.7</v>
      </c>
      <c r="H284" t="n">
        <v>0</v>
      </c>
      <c r="I284" t="n">
        <v>0</v>
      </c>
      <c r="J284" t="n">
        <v>0</v>
      </c>
      <c r="K284" t="n">
        <v>0</v>
      </c>
      <c r="L284" t="n">
        <v>0</v>
      </c>
      <c r="M284" t="n">
        <v>0</v>
      </c>
      <c r="N284" t="n">
        <v>0</v>
      </c>
      <c r="O284" t="n">
        <v>0</v>
      </c>
      <c r="P284" t="n">
        <v>0</v>
      </c>
      <c r="Q284" t="n">
        <v>0</v>
      </c>
      <c r="R284" s="2" t="inlineStr"/>
    </row>
    <row r="285" ht="15" customHeight="1">
      <c r="A285" t="inlineStr">
        <is>
          <t>A 73054-2021</t>
        </is>
      </c>
      <c r="B285" s="1" t="n">
        <v>44550</v>
      </c>
      <c r="C285" s="1" t="n">
        <v>45707</v>
      </c>
      <c r="D285" t="inlineStr">
        <is>
          <t>VÄSTERBOTTENS LÄN</t>
        </is>
      </c>
      <c r="E285" t="inlineStr">
        <is>
          <t>STORUMAN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73444-2021</t>
        </is>
      </c>
      <c r="B286" s="1" t="n">
        <v>44551</v>
      </c>
      <c r="C286" s="1" t="n">
        <v>45707</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2794-2022</t>
        </is>
      </c>
      <c r="B287" s="1" t="n">
        <v>44580</v>
      </c>
      <c r="C287" s="1" t="n">
        <v>45707</v>
      </c>
      <c r="D287" t="inlineStr">
        <is>
          <t>VÄSTERBOTTENS LÄN</t>
        </is>
      </c>
      <c r="E287" t="inlineStr">
        <is>
          <t>STORUMAN</t>
        </is>
      </c>
      <c r="G287" t="n">
        <v>12.5</v>
      </c>
      <c r="H287" t="n">
        <v>0</v>
      </c>
      <c r="I287" t="n">
        <v>0</v>
      </c>
      <c r="J287" t="n">
        <v>0</v>
      </c>
      <c r="K287" t="n">
        <v>0</v>
      </c>
      <c r="L287" t="n">
        <v>0</v>
      </c>
      <c r="M287" t="n">
        <v>0</v>
      </c>
      <c r="N287" t="n">
        <v>0</v>
      </c>
      <c r="O287" t="n">
        <v>0</v>
      </c>
      <c r="P287" t="n">
        <v>0</v>
      </c>
      <c r="Q287" t="n">
        <v>0</v>
      </c>
      <c r="R287" s="2" t="inlineStr"/>
    </row>
    <row r="288" ht="15" customHeight="1">
      <c r="A288" t="inlineStr">
        <is>
          <t>A 2788-2022</t>
        </is>
      </c>
      <c r="B288" s="1" t="n">
        <v>44580</v>
      </c>
      <c r="C288" s="1" t="n">
        <v>45707</v>
      </c>
      <c r="D288" t="inlineStr">
        <is>
          <t>VÄSTERBOTTENS LÄN</t>
        </is>
      </c>
      <c r="E288" t="inlineStr">
        <is>
          <t>STORUMAN</t>
        </is>
      </c>
      <c r="G288" t="n">
        <v>22</v>
      </c>
      <c r="H288" t="n">
        <v>0</v>
      </c>
      <c r="I288" t="n">
        <v>0</v>
      </c>
      <c r="J288" t="n">
        <v>0</v>
      </c>
      <c r="K288" t="n">
        <v>0</v>
      </c>
      <c r="L288" t="n">
        <v>0</v>
      </c>
      <c r="M288" t="n">
        <v>0</v>
      </c>
      <c r="N288" t="n">
        <v>0</v>
      </c>
      <c r="O288" t="n">
        <v>0</v>
      </c>
      <c r="P288" t="n">
        <v>0</v>
      </c>
      <c r="Q288" t="n">
        <v>0</v>
      </c>
      <c r="R288" s="2" t="inlineStr"/>
    </row>
    <row r="289" ht="15" customHeight="1">
      <c r="A289" t="inlineStr">
        <is>
          <t>A 2963-2022</t>
        </is>
      </c>
      <c r="B289" s="1" t="n">
        <v>44581</v>
      </c>
      <c r="C289" s="1" t="n">
        <v>45707</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3046-2022</t>
        </is>
      </c>
      <c r="B290" s="1" t="n">
        <v>44581</v>
      </c>
      <c r="C290" s="1" t="n">
        <v>45707</v>
      </c>
      <c r="D290" t="inlineStr">
        <is>
          <t>VÄSTERBOTTENS LÄN</t>
        </is>
      </c>
      <c r="E290" t="inlineStr">
        <is>
          <t>STORUMAN</t>
        </is>
      </c>
      <c r="G290" t="n">
        <v>23.9</v>
      </c>
      <c r="H290" t="n">
        <v>0</v>
      </c>
      <c r="I290" t="n">
        <v>0</v>
      </c>
      <c r="J290" t="n">
        <v>0</v>
      </c>
      <c r="K290" t="n">
        <v>0</v>
      </c>
      <c r="L290" t="n">
        <v>0</v>
      </c>
      <c r="M290" t="n">
        <v>0</v>
      </c>
      <c r="N290" t="n">
        <v>0</v>
      </c>
      <c r="O290" t="n">
        <v>0</v>
      </c>
      <c r="P290" t="n">
        <v>0</v>
      </c>
      <c r="Q290" t="n">
        <v>0</v>
      </c>
      <c r="R290" s="2" t="inlineStr"/>
    </row>
    <row r="291" ht="15" customHeight="1">
      <c r="A291" t="inlineStr">
        <is>
          <t>A 3040-2022</t>
        </is>
      </c>
      <c r="B291" s="1" t="n">
        <v>44581</v>
      </c>
      <c r="C291" s="1" t="n">
        <v>45707</v>
      </c>
      <c r="D291" t="inlineStr">
        <is>
          <t>VÄSTERBOTTENS LÄN</t>
        </is>
      </c>
      <c r="E291" t="inlineStr">
        <is>
          <t>STORUMAN</t>
        </is>
      </c>
      <c r="G291" t="n">
        <v>14.2</v>
      </c>
      <c r="H291" t="n">
        <v>0</v>
      </c>
      <c r="I291" t="n">
        <v>0</v>
      </c>
      <c r="J291" t="n">
        <v>0</v>
      </c>
      <c r="K291" t="n">
        <v>0</v>
      </c>
      <c r="L291" t="n">
        <v>0</v>
      </c>
      <c r="M291" t="n">
        <v>0</v>
      </c>
      <c r="N291" t="n">
        <v>0</v>
      </c>
      <c r="O291" t="n">
        <v>0</v>
      </c>
      <c r="P291" t="n">
        <v>0</v>
      </c>
      <c r="Q291" t="n">
        <v>0</v>
      </c>
      <c r="R291" s="2" t="inlineStr"/>
    </row>
    <row r="292" ht="15" customHeight="1">
      <c r="A292" t="inlineStr">
        <is>
          <t>A 3354-2022</t>
        </is>
      </c>
      <c r="B292" s="1" t="n">
        <v>44585</v>
      </c>
      <c r="C292" s="1" t="n">
        <v>45707</v>
      </c>
      <c r="D292" t="inlineStr">
        <is>
          <t>VÄSTERBOTTENS LÄN</t>
        </is>
      </c>
      <c r="E292" t="inlineStr">
        <is>
          <t>STORUMAN</t>
        </is>
      </c>
      <c r="G292" t="n">
        <v>2.8</v>
      </c>
      <c r="H292" t="n">
        <v>0</v>
      </c>
      <c r="I292" t="n">
        <v>0</v>
      </c>
      <c r="J292" t="n">
        <v>0</v>
      </c>
      <c r="K292" t="n">
        <v>0</v>
      </c>
      <c r="L292" t="n">
        <v>0</v>
      </c>
      <c r="M292" t="n">
        <v>0</v>
      </c>
      <c r="N292" t="n">
        <v>0</v>
      </c>
      <c r="O292" t="n">
        <v>0</v>
      </c>
      <c r="P292" t="n">
        <v>0</v>
      </c>
      <c r="Q292" t="n">
        <v>0</v>
      </c>
      <c r="R292" s="2" t="inlineStr"/>
    </row>
    <row r="293" ht="15" customHeight="1">
      <c r="A293" t="inlineStr">
        <is>
          <t>A 3625-2022</t>
        </is>
      </c>
      <c r="B293" s="1" t="n">
        <v>44586</v>
      </c>
      <c r="C293" s="1" t="n">
        <v>45707</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4218-2022</t>
        </is>
      </c>
      <c r="B294" s="1" t="n">
        <v>44588</v>
      </c>
      <c r="C294" s="1" t="n">
        <v>45707</v>
      </c>
      <c r="D294" t="inlineStr">
        <is>
          <t>VÄSTERBOTTENS LÄN</t>
        </is>
      </c>
      <c r="E294" t="inlineStr">
        <is>
          <t>STORUMAN</t>
        </is>
      </c>
      <c r="G294" t="n">
        <v>18.6</v>
      </c>
      <c r="H294" t="n">
        <v>0</v>
      </c>
      <c r="I294" t="n">
        <v>0</v>
      </c>
      <c r="J294" t="n">
        <v>0</v>
      </c>
      <c r="K294" t="n">
        <v>0</v>
      </c>
      <c r="L294" t="n">
        <v>0</v>
      </c>
      <c r="M294" t="n">
        <v>0</v>
      </c>
      <c r="N294" t="n">
        <v>0</v>
      </c>
      <c r="O294" t="n">
        <v>0</v>
      </c>
      <c r="P294" t="n">
        <v>0</v>
      </c>
      <c r="Q294" t="n">
        <v>0</v>
      </c>
      <c r="R294" s="2" t="inlineStr"/>
    </row>
    <row r="295" ht="15" customHeight="1">
      <c r="A295" t="inlineStr">
        <is>
          <t>A 5185-2022</t>
        </is>
      </c>
      <c r="B295" s="1" t="n">
        <v>44594</v>
      </c>
      <c r="C295" s="1" t="n">
        <v>45707</v>
      </c>
      <c r="D295" t="inlineStr">
        <is>
          <t>VÄSTERBOTTENS LÄN</t>
        </is>
      </c>
      <c r="E295" t="inlineStr">
        <is>
          <t>STORUMAN</t>
        </is>
      </c>
      <c r="G295" t="n">
        <v>1</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45707</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5898-2022</t>
        </is>
      </c>
      <c r="B297" s="1" t="n">
        <v>44596</v>
      </c>
      <c r="C297" s="1" t="n">
        <v>45707</v>
      </c>
      <c r="D297" t="inlineStr">
        <is>
          <t>VÄSTERBOTTENS LÄN</t>
        </is>
      </c>
      <c r="E297" t="inlineStr">
        <is>
          <t>STORUMAN</t>
        </is>
      </c>
      <c r="G297" t="n">
        <v>20.2</v>
      </c>
      <c r="H297" t="n">
        <v>0</v>
      </c>
      <c r="I297" t="n">
        <v>0</v>
      </c>
      <c r="J297" t="n">
        <v>0</v>
      </c>
      <c r="K297" t="n">
        <v>0</v>
      </c>
      <c r="L297" t="n">
        <v>0</v>
      </c>
      <c r="M297" t="n">
        <v>0</v>
      </c>
      <c r="N297" t="n">
        <v>0</v>
      </c>
      <c r="O297" t="n">
        <v>0</v>
      </c>
      <c r="P297" t="n">
        <v>0</v>
      </c>
      <c r="Q297" t="n">
        <v>0</v>
      </c>
      <c r="R297" s="2" t="inlineStr"/>
    </row>
    <row r="298" ht="15" customHeight="1">
      <c r="A298" t="inlineStr">
        <is>
          <t>A 6636-2022</t>
        </is>
      </c>
      <c r="B298" s="1" t="n">
        <v>44601</v>
      </c>
      <c r="C298" s="1" t="n">
        <v>45707</v>
      </c>
      <c r="D298" t="inlineStr">
        <is>
          <t>VÄSTERBOTTENS LÄN</t>
        </is>
      </c>
      <c r="E298" t="inlineStr">
        <is>
          <t>STORUMAN</t>
        </is>
      </c>
      <c r="G298" t="n">
        <v>23.5</v>
      </c>
      <c r="H298" t="n">
        <v>0</v>
      </c>
      <c r="I298" t="n">
        <v>0</v>
      </c>
      <c r="J298" t="n">
        <v>0</v>
      </c>
      <c r="K298" t="n">
        <v>0</v>
      </c>
      <c r="L298" t="n">
        <v>0</v>
      </c>
      <c r="M298" t="n">
        <v>0</v>
      </c>
      <c r="N298" t="n">
        <v>0</v>
      </c>
      <c r="O298" t="n">
        <v>0</v>
      </c>
      <c r="P298" t="n">
        <v>0</v>
      </c>
      <c r="Q298" t="n">
        <v>0</v>
      </c>
      <c r="R298" s="2" t="inlineStr"/>
    </row>
    <row r="299" ht="15" customHeight="1">
      <c r="A299" t="inlineStr">
        <is>
          <t>A 10908-2022</t>
        </is>
      </c>
      <c r="B299" s="1" t="n">
        <v>44627</v>
      </c>
      <c r="C299" s="1" t="n">
        <v>45707</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12002-2022</t>
        </is>
      </c>
      <c r="B300" s="1" t="n">
        <v>44635</v>
      </c>
      <c r="C300" s="1" t="n">
        <v>45707</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12011-2022</t>
        </is>
      </c>
      <c r="B301" s="1" t="n">
        <v>44635</v>
      </c>
      <c r="C301" s="1" t="n">
        <v>45707</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13212-2022</t>
        </is>
      </c>
      <c r="B302" s="1" t="n">
        <v>44644</v>
      </c>
      <c r="C302" s="1" t="n">
        <v>45707</v>
      </c>
      <c r="D302" t="inlineStr">
        <is>
          <t>VÄSTERBOTTENS LÄN</t>
        </is>
      </c>
      <c r="E302" t="inlineStr">
        <is>
          <t>STORUMAN</t>
        </is>
      </c>
      <c r="G302" t="n">
        <v>8</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44649</v>
      </c>
      <c r="C303" s="1" t="n">
        <v>45707</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14185-2022</t>
        </is>
      </c>
      <c r="B304" s="1" t="n">
        <v>44650</v>
      </c>
      <c r="C304" s="1" t="n">
        <v>45707</v>
      </c>
      <c r="D304" t="inlineStr">
        <is>
          <t>VÄSTERBOTTENS LÄN</t>
        </is>
      </c>
      <c r="E304" t="inlineStr">
        <is>
          <t>STORUMAN</t>
        </is>
      </c>
      <c r="F304" t="inlineStr">
        <is>
          <t>Övriga statliga verk och myndigheter</t>
        </is>
      </c>
      <c r="G304" t="n">
        <v>4.8</v>
      </c>
      <c r="H304" t="n">
        <v>0</v>
      </c>
      <c r="I304" t="n">
        <v>0</v>
      </c>
      <c r="J304" t="n">
        <v>0</v>
      </c>
      <c r="K304" t="n">
        <v>0</v>
      </c>
      <c r="L304" t="n">
        <v>0</v>
      </c>
      <c r="M304" t="n">
        <v>0</v>
      </c>
      <c r="N304" t="n">
        <v>0</v>
      </c>
      <c r="O304" t="n">
        <v>0</v>
      </c>
      <c r="P304" t="n">
        <v>0</v>
      </c>
      <c r="Q304" t="n">
        <v>0</v>
      </c>
      <c r="R304" s="2" t="inlineStr"/>
    </row>
    <row r="305" ht="15" customHeight="1">
      <c r="A305" t="inlineStr">
        <is>
          <t>A 14479-2022</t>
        </is>
      </c>
      <c r="B305" s="1" t="n">
        <v>44650</v>
      </c>
      <c r="C305" s="1" t="n">
        <v>45707</v>
      </c>
      <c r="D305" t="inlineStr">
        <is>
          <t>VÄSTERBOTTENS LÄN</t>
        </is>
      </c>
      <c r="E305" t="inlineStr">
        <is>
          <t>STORUMAN</t>
        </is>
      </c>
      <c r="F305" t="inlineStr">
        <is>
          <t>Övriga statliga verk och myndigheter</t>
        </is>
      </c>
      <c r="G305" t="n">
        <v>5.9</v>
      </c>
      <c r="H305" t="n">
        <v>0</v>
      </c>
      <c r="I305" t="n">
        <v>0</v>
      </c>
      <c r="J305" t="n">
        <v>0</v>
      </c>
      <c r="K305" t="n">
        <v>0</v>
      </c>
      <c r="L305" t="n">
        <v>0</v>
      </c>
      <c r="M305" t="n">
        <v>0</v>
      </c>
      <c r="N305" t="n">
        <v>0</v>
      </c>
      <c r="O305" t="n">
        <v>0</v>
      </c>
      <c r="P305" t="n">
        <v>0</v>
      </c>
      <c r="Q305" t="n">
        <v>0</v>
      </c>
      <c r="R305" s="2" t="inlineStr"/>
    </row>
    <row r="306" ht="15" customHeight="1">
      <c r="A306" t="inlineStr">
        <is>
          <t>A 14395-2022</t>
        </is>
      </c>
      <c r="B306" s="1" t="n">
        <v>44652</v>
      </c>
      <c r="C306" s="1" t="n">
        <v>45707</v>
      </c>
      <c r="D306" t="inlineStr">
        <is>
          <t>VÄSTERBOTTENS LÄN</t>
        </is>
      </c>
      <c r="E306" t="inlineStr">
        <is>
          <t>STORUMAN</t>
        </is>
      </c>
      <c r="G306" t="n">
        <v>0.4</v>
      </c>
      <c r="H306" t="n">
        <v>0</v>
      </c>
      <c r="I306" t="n">
        <v>0</v>
      </c>
      <c r="J306" t="n">
        <v>0</v>
      </c>
      <c r="K306" t="n">
        <v>0</v>
      </c>
      <c r="L306" t="n">
        <v>0</v>
      </c>
      <c r="M306" t="n">
        <v>0</v>
      </c>
      <c r="N306" t="n">
        <v>0</v>
      </c>
      <c r="O306" t="n">
        <v>0</v>
      </c>
      <c r="P306" t="n">
        <v>0</v>
      </c>
      <c r="Q306" t="n">
        <v>0</v>
      </c>
      <c r="R306" s="2" t="inlineStr"/>
    </row>
    <row r="307" ht="15" customHeight="1">
      <c r="A307" t="inlineStr">
        <is>
          <t>A 14690-2022</t>
        </is>
      </c>
      <c r="B307" s="1" t="n">
        <v>44655</v>
      </c>
      <c r="C307" s="1" t="n">
        <v>45707</v>
      </c>
      <c r="D307" t="inlineStr">
        <is>
          <t>VÄSTERBOTTENS LÄN</t>
        </is>
      </c>
      <c r="E307" t="inlineStr">
        <is>
          <t>STORUMAN</t>
        </is>
      </c>
      <c r="G307" t="n">
        <v>8.5</v>
      </c>
      <c r="H307" t="n">
        <v>0</v>
      </c>
      <c r="I307" t="n">
        <v>0</v>
      </c>
      <c r="J307" t="n">
        <v>0</v>
      </c>
      <c r="K307" t="n">
        <v>0</v>
      </c>
      <c r="L307" t="n">
        <v>0</v>
      </c>
      <c r="M307" t="n">
        <v>0</v>
      </c>
      <c r="N307" t="n">
        <v>0</v>
      </c>
      <c r="O307" t="n">
        <v>0</v>
      </c>
      <c r="P307" t="n">
        <v>0</v>
      </c>
      <c r="Q307" t="n">
        <v>0</v>
      </c>
      <c r="R307" s="2" t="inlineStr"/>
    </row>
    <row r="308" ht="15" customHeight="1">
      <c r="A308" t="inlineStr">
        <is>
          <t>A 14683-2022</t>
        </is>
      </c>
      <c r="B308" s="1" t="n">
        <v>44655</v>
      </c>
      <c r="C308" s="1" t="n">
        <v>45707</v>
      </c>
      <c r="D308" t="inlineStr">
        <is>
          <t>VÄSTERBOTTENS LÄN</t>
        </is>
      </c>
      <c r="E308" t="inlineStr">
        <is>
          <t>STORUMAN</t>
        </is>
      </c>
      <c r="G308" t="n">
        <v>3.8</v>
      </c>
      <c r="H308" t="n">
        <v>0</v>
      </c>
      <c r="I308" t="n">
        <v>0</v>
      </c>
      <c r="J308" t="n">
        <v>0</v>
      </c>
      <c r="K308" t="n">
        <v>0</v>
      </c>
      <c r="L308" t="n">
        <v>0</v>
      </c>
      <c r="M308" t="n">
        <v>0</v>
      </c>
      <c r="N308" t="n">
        <v>0</v>
      </c>
      <c r="O308" t="n">
        <v>0</v>
      </c>
      <c r="P308" t="n">
        <v>0</v>
      </c>
      <c r="Q308" t="n">
        <v>0</v>
      </c>
      <c r="R308" s="2" t="inlineStr"/>
    </row>
    <row r="309" ht="15" customHeight="1">
      <c r="A309" t="inlineStr">
        <is>
          <t>A 15416-2022</t>
        </is>
      </c>
      <c r="B309" s="1" t="n">
        <v>44659</v>
      </c>
      <c r="C309" s="1" t="n">
        <v>45707</v>
      </c>
      <c r="D309" t="inlineStr">
        <is>
          <t>VÄSTERBOTTENS LÄN</t>
        </is>
      </c>
      <c r="E309" t="inlineStr">
        <is>
          <t>STORUMAN</t>
        </is>
      </c>
      <c r="G309" t="n">
        <v>4.4</v>
      </c>
      <c r="H309" t="n">
        <v>0</v>
      </c>
      <c r="I309" t="n">
        <v>0</v>
      </c>
      <c r="J309" t="n">
        <v>0</v>
      </c>
      <c r="K309" t="n">
        <v>0</v>
      </c>
      <c r="L309" t="n">
        <v>0</v>
      </c>
      <c r="M309" t="n">
        <v>0</v>
      </c>
      <c r="N309" t="n">
        <v>0</v>
      </c>
      <c r="O309" t="n">
        <v>0</v>
      </c>
      <c r="P309" t="n">
        <v>0</v>
      </c>
      <c r="Q309" t="n">
        <v>0</v>
      </c>
      <c r="R309" s="2" t="inlineStr"/>
    </row>
    <row r="310" ht="15" customHeight="1">
      <c r="A310" t="inlineStr">
        <is>
          <t>A 15680-2022</t>
        </is>
      </c>
      <c r="B310" s="1" t="n">
        <v>44663</v>
      </c>
      <c r="C310" s="1" t="n">
        <v>45707</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16136-2022</t>
        </is>
      </c>
      <c r="B311" s="1" t="n">
        <v>44665</v>
      </c>
      <c r="C311" s="1" t="n">
        <v>45707</v>
      </c>
      <c r="D311" t="inlineStr">
        <is>
          <t>VÄSTERBOTTENS LÄN</t>
        </is>
      </c>
      <c r="E311" t="inlineStr">
        <is>
          <t>STORUMAN</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16520-2022</t>
        </is>
      </c>
      <c r="B312" s="1" t="n">
        <v>44671</v>
      </c>
      <c r="C312" s="1" t="n">
        <v>45707</v>
      </c>
      <c r="D312" t="inlineStr">
        <is>
          <t>VÄSTERBOTTENS LÄN</t>
        </is>
      </c>
      <c r="E312" t="inlineStr">
        <is>
          <t>STORUMAN</t>
        </is>
      </c>
      <c r="G312" t="n">
        <v>20.1</v>
      </c>
      <c r="H312" t="n">
        <v>0</v>
      </c>
      <c r="I312" t="n">
        <v>0</v>
      </c>
      <c r="J312" t="n">
        <v>0</v>
      </c>
      <c r="K312" t="n">
        <v>0</v>
      </c>
      <c r="L312" t="n">
        <v>0</v>
      </c>
      <c r="M312" t="n">
        <v>0</v>
      </c>
      <c r="N312" t="n">
        <v>0</v>
      </c>
      <c r="O312" t="n">
        <v>0</v>
      </c>
      <c r="P312" t="n">
        <v>0</v>
      </c>
      <c r="Q312" t="n">
        <v>0</v>
      </c>
      <c r="R312" s="2" t="inlineStr"/>
    </row>
    <row r="313" ht="15" customHeight="1">
      <c r="A313" t="inlineStr">
        <is>
          <t>A 16782-2022</t>
        </is>
      </c>
      <c r="B313" s="1" t="n">
        <v>44673</v>
      </c>
      <c r="C313" s="1" t="n">
        <v>45707</v>
      </c>
      <c r="D313" t="inlineStr">
        <is>
          <t>VÄSTERBOTTENS LÄN</t>
        </is>
      </c>
      <c r="E313" t="inlineStr">
        <is>
          <t>STORUMAN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17150-2022</t>
        </is>
      </c>
      <c r="B314" s="1" t="n">
        <v>44677</v>
      </c>
      <c r="C314" s="1" t="n">
        <v>45707</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17149-2022</t>
        </is>
      </c>
      <c r="B315" s="1" t="n">
        <v>44677</v>
      </c>
      <c r="C315" s="1" t="n">
        <v>45707</v>
      </c>
      <c r="D315" t="inlineStr">
        <is>
          <t>VÄSTERBOTTENS LÄN</t>
        </is>
      </c>
      <c r="E315" t="inlineStr">
        <is>
          <t>STORUMAN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17471-2022</t>
        </is>
      </c>
      <c r="B316" s="1" t="n">
        <v>44679</v>
      </c>
      <c r="C316" s="1" t="n">
        <v>45707</v>
      </c>
      <c r="D316" t="inlineStr">
        <is>
          <t>VÄSTERBOTTENS LÄN</t>
        </is>
      </c>
      <c r="E316" t="inlineStr">
        <is>
          <t>STORUMAN</t>
        </is>
      </c>
      <c r="G316" t="n">
        <v>59.1</v>
      </c>
      <c r="H316" t="n">
        <v>0</v>
      </c>
      <c r="I316" t="n">
        <v>0</v>
      </c>
      <c r="J316" t="n">
        <v>0</v>
      </c>
      <c r="K316" t="n">
        <v>0</v>
      </c>
      <c r="L316" t="n">
        <v>0</v>
      </c>
      <c r="M316" t="n">
        <v>0</v>
      </c>
      <c r="N316" t="n">
        <v>0</v>
      </c>
      <c r="O316" t="n">
        <v>0</v>
      </c>
      <c r="P316" t="n">
        <v>0</v>
      </c>
      <c r="Q316" t="n">
        <v>0</v>
      </c>
      <c r="R316" s="2" t="inlineStr"/>
    </row>
    <row r="317" ht="15" customHeight="1">
      <c r="A317" t="inlineStr">
        <is>
          <t>A 18366-2022</t>
        </is>
      </c>
      <c r="B317" s="1" t="n">
        <v>44685</v>
      </c>
      <c r="C317" s="1" t="n">
        <v>45707</v>
      </c>
      <c r="D317" t="inlineStr">
        <is>
          <t>VÄSTERBOTTENS LÄN</t>
        </is>
      </c>
      <c r="E317" t="inlineStr">
        <is>
          <t>STORUMAN</t>
        </is>
      </c>
      <c r="G317" t="n">
        <v>18.9</v>
      </c>
      <c r="H317" t="n">
        <v>0</v>
      </c>
      <c r="I317" t="n">
        <v>0</v>
      </c>
      <c r="J317" t="n">
        <v>0</v>
      </c>
      <c r="K317" t="n">
        <v>0</v>
      </c>
      <c r="L317" t="n">
        <v>0</v>
      </c>
      <c r="M317" t="n">
        <v>0</v>
      </c>
      <c r="N317" t="n">
        <v>0</v>
      </c>
      <c r="O317" t="n">
        <v>0</v>
      </c>
      <c r="P317" t="n">
        <v>0</v>
      </c>
      <c r="Q317" t="n">
        <v>0</v>
      </c>
      <c r="R317" s="2" t="inlineStr"/>
    </row>
    <row r="318" ht="15" customHeight="1">
      <c r="A318" t="inlineStr">
        <is>
          <t>A 19463-2022</t>
        </is>
      </c>
      <c r="B318" s="1" t="n">
        <v>44693</v>
      </c>
      <c r="C318" s="1" t="n">
        <v>45707</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20194-2022</t>
        </is>
      </c>
      <c r="B319" s="1" t="n">
        <v>44698</v>
      </c>
      <c r="C319" s="1" t="n">
        <v>45707</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20844-2022</t>
        </is>
      </c>
      <c r="B320" s="1" t="n">
        <v>44701</v>
      </c>
      <c r="C320" s="1" t="n">
        <v>45707</v>
      </c>
      <c r="D320" t="inlineStr">
        <is>
          <t>VÄSTERBOTTENS LÄN</t>
        </is>
      </c>
      <c r="E320" t="inlineStr">
        <is>
          <t>STORUMAN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44713</v>
      </c>
      <c r="C321" s="1" t="n">
        <v>45707</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23188-2022</t>
        </is>
      </c>
      <c r="B322" s="1" t="n">
        <v>44720</v>
      </c>
      <c r="C322" s="1" t="n">
        <v>45707</v>
      </c>
      <c r="D322" t="inlineStr">
        <is>
          <t>VÄSTERBOTTENS LÄN</t>
        </is>
      </c>
      <c r="E322" t="inlineStr">
        <is>
          <t>STORUMAN</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24541-2022</t>
        </is>
      </c>
      <c r="B323" s="1" t="n">
        <v>44727</v>
      </c>
      <c r="C323" s="1" t="n">
        <v>45707</v>
      </c>
      <c r="D323" t="inlineStr">
        <is>
          <t>VÄSTERBOTTENS LÄN</t>
        </is>
      </c>
      <c r="E323" t="inlineStr">
        <is>
          <t>STORUMAN</t>
        </is>
      </c>
      <c r="F323" t="inlineStr">
        <is>
          <t>Kommuner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25397-2022</t>
        </is>
      </c>
      <c r="B324" s="1" t="n">
        <v>44732</v>
      </c>
      <c r="C324" s="1" t="n">
        <v>45707</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25950-2022</t>
        </is>
      </c>
      <c r="B325" s="1" t="n">
        <v>44734</v>
      </c>
      <c r="C325" s="1" t="n">
        <v>45707</v>
      </c>
      <c r="D325" t="inlineStr">
        <is>
          <t>VÄSTERBOTTENS LÄN</t>
        </is>
      </c>
      <c r="E325" t="inlineStr">
        <is>
          <t>STORUMAN</t>
        </is>
      </c>
      <c r="F325" t="inlineStr">
        <is>
          <t>Sveaskog</t>
        </is>
      </c>
      <c r="G325" t="n">
        <v>30.3</v>
      </c>
      <c r="H325" t="n">
        <v>0</v>
      </c>
      <c r="I325" t="n">
        <v>0</v>
      </c>
      <c r="J325" t="n">
        <v>0</v>
      </c>
      <c r="K325" t="n">
        <v>0</v>
      </c>
      <c r="L325" t="n">
        <v>0</v>
      </c>
      <c r="M325" t="n">
        <v>0</v>
      </c>
      <c r="N325" t="n">
        <v>0</v>
      </c>
      <c r="O325" t="n">
        <v>0</v>
      </c>
      <c r="P325" t="n">
        <v>0</v>
      </c>
      <c r="Q325" t="n">
        <v>0</v>
      </c>
      <c r="R325" s="2" t="inlineStr"/>
    </row>
    <row r="326" ht="15" customHeight="1">
      <c r="A326" t="inlineStr">
        <is>
          <t>A 28001-2022</t>
        </is>
      </c>
      <c r="B326" s="1" t="n">
        <v>44743</v>
      </c>
      <c r="C326" s="1" t="n">
        <v>45707</v>
      </c>
      <c r="D326" t="inlineStr">
        <is>
          <t>VÄSTERBOTTENS LÄN</t>
        </is>
      </c>
      <c r="E326" t="inlineStr">
        <is>
          <t>STORUMAN</t>
        </is>
      </c>
      <c r="G326" t="n">
        <v>2.3</v>
      </c>
      <c r="H326" t="n">
        <v>0</v>
      </c>
      <c r="I326" t="n">
        <v>0</v>
      </c>
      <c r="J326" t="n">
        <v>0</v>
      </c>
      <c r="K326" t="n">
        <v>0</v>
      </c>
      <c r="L326" t="n">
        <v>0</v>
      </c>
      <c r="M326" t="n">
        <v>0</v>
      </c>
      <c r="N326" t="n">
        <v>0</v>
      </c>
      <c r="O326" t="n">
        <v>0</v>
      </c>
      <c r="P326" t="n">
        <v>0</v>
      </c>
      <c r="Q326" t="n">
        <v>0</v>
      </c>
      <c r="R326" s="2" t="inlineStr"/>
    </row>
    <row r="327" ht="15" customHeight="1">
      <c r="A327" t="inlineStr">
        <is>
          <t>A 28061-2022</t>
        </is>
      </c>
      <c r="B327" s="1" t="n">
        <v>44746</v>
      </c>
      <c r="C327" s="1" t="n">
        <v>45707</v>
      </c>
      <c r="D327" t="inlineStr">
        <is>
          <t>VÄSTERBOTTENS LÄN</t>
        </is>
      </c>
      <c r="E327" t="inlineStr">
        <is>
          <t>STORUMAN</t>
        </is>
      </c>
      <c r="G327" t="n">
        <v>13</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45707</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28710-2022</t>
        </is>
      </c>
      <c r="B329" s="1" t="n">
        <v>44749</v>
      </c>
      <c r="C329" s="1" t="n">
        <v>45707</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v>
      </c>
      <c r="C330" s="1" t="n">
        <v>45707</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31702-2022</t>
        </is>
      </c>
      <c r="B331" s="1" t="n">
        <v>44776</v>
      </c>
      <c r="C331" s="1" t="n">
        <v>45707</v>
      </c>
      <c r="D331" t="inlineStr">
        <is>
          <t>VÄSTERBOTTENS LÄN</t>
        </is>
      </c>
      <c r="E331" t="inlineStr">
        <is>
          <t>STORUMAN</t>
        </is>
      </c>
      <c r="F331" t="inlineStr">
        <is>
          <t>Naturvårdsverket</t>
        </is>
      </c>
      <c r="G331" t="n">
        <v>22.8</v>
      </c>
      <c r="H331" t="n">
        <v>0</v>
      </c>
      <c r="I331" t="n">
        <v>0</v>
      </c>
      <c r="J331" t="n">
        <v>0</v>
      </c>
      <c r="K331" t="n">
        <v>0</v>
      </c>
      <c r="L331" t="n">
        <v>0</v>
      </c>
      <c r="M331" t="n">
        <v>0</v>
      </c>
      <c r="N331" t="n">
        <v>0</v>
      </c>
      <c r="O331" t="n">
        <v>0</v>
      </c>
      <c r="P331" t="n">
        <v>0</v>
      </c>
      <c r="Q331" t="n">
        <v>0</v>
      </c>
      <c r="R331" s="2" t="inlineStr"/>
    </row>
    <row r="332" ht="15" customHeight="1">
      <c r="A332" t="inlineStr">
        <is>
          <t>A 32459-2022</t>
        </is>
      </c>
      <c r="B332" s="1" t="n">
        <v>44782</v>
      </c>
      <c r="C332" s="1" t="n">
        <v>45707</v>
      </c>
      <c r="D332" t="inlineStr">
        <is>
          <t>VÄSTERBOTTENS LÄN</t>
        </is>
      </c>
      <c r="E332" t="inlineStr">
        <is>
          <t>STORUMAN</t>
        </is>
      </c>
      <c r="G332" t="n">
        <v>1.2</v>
      </c>
      <c r="H332" t="n">
        <v>0</v>
      </c>
      <c r="I332" t="n">
        <v>0</v>
      </c>
      <c r="J332" t="n">
        <v>0</v>
      </c>
      <c r="K332" t="n">
        <v>0</v>
      </c>
      <c r="L332" t="n">
        <v>0</v>
      </c>
      <c r="M332" t="n">
        <v>0</v>
      </c>
      <c r="N332" t="n">
        <v>0</v>
      </c>
      <c r="O332" t="n">
        <v>0</v>
      </c>
      <c r="P332" t="n">
        <v>0</v>
      </c>
      <c r="Q332" t="n">
        <v>0</v>
      </c>
      <c r="R332" s="2" t="inlineStr"/>
    </row>
    <row r="333" ht="15" customHeight="1">
      <c r="A333" t="inlineStr">
        <is>
          <t>A 33342-2022</t>
        </is>
      </c>
      <c r="B333" s="1" t="n">
        <v>44788</v>
      </c>
      <c r="C333" s="1" t="n">
        <v>45707</v>
      </c>
      <c r="D333" t="inlineStr">
        <is>
          <t>VÄSTERBOTTENS LÄN</t>
        </is>
      </c>
      <c r="E333" t="inlineStr">
        <is>
          <t>STORUMAN</t>
        </is>
      </c>
      <c r="G333" t="n">
        <v>14.5</v>
      </c>
      <c r="H333" t="n">
        <v>0</v>
      </c>
      <c r="I333" t="n">
        <v>0</v>
      </c>
      <c r="J333" t="n">
        <v>0</v>
      </c>
      <c r="K333" t="n">
        <v>0</v>
      </c>
      <c r="L333" t="n">
        <v>0</v>
      </c>
      <c r="M333" t="n">
        <v>0</v>
      </c>
      <c r="N333" t="n">
        <v>0</v>
      </c>
      <c r="O333" t="n">
        <v>0</v>
      </c>
      <c r="P333" t="n">
        <v>0</v>
      </c>
      <c r="Q333" t="n">
        <v>0</v>
      </c>
      <c r="R333" s="2" t="inlineStr"/>
    </row>
    <row r="334" ht="15" customHeight="1">
      <c r="A334" t="inlineStr">
        <is>
          <t>A 34954-2022</t>
        </is>
      </c>
      <c r="B334" s="1" t="n">
        <v>44796</v>
      </c>
      <c r="C334" s="1" t="n">
        <v>45707</v>
      </c>
      <c r="D334" t="inlineStr">
        <is>
          <t>VÄSTERBOTTENS LÄN</t>
        </is>
      </c>
      <c r="E334" t="inlineStr">
        <is>
          <t>STORUMAN</t>
        </is>
      </c>
      <c r="F334" t="inlineStr">
        <is>
          <t>Sveaskog</t>
        </is>
      </c>
      <c r="G334" t="n">
        <v>16.1</v>
      </c>
      <c r="H334" t="n">
        <v>0</v>
      </c>
      <c r="I334" t="n">
        <v>0</v>
      </c>
      <c r="J334" t="n">
        <v>0</v>
      </c>
      <c r="K334" t="n">
        <v>0</v>
      </c>
      <c r="L334" t="n">
        <v>0</v>
      </c>
      <c r="M334" t="n">
        <v>0</v>
      </c>
      <c r="N334" t="n">
        <v>0</v>
      </c>
      <c r="O334" t="n">
        <v>0</v>
      </c>
      <c r="P334" t="n">
        <v>0</v>
      </c>
      <c r="Q334" t="n">
        <v>0</v>
      </c>
      <c r="R334" s="2" t="inlineStr"/>
    </row>
    <row r="335" ht="15" customHeight="1">
      <c r="A335" t="inlineStr">
        <is>
          <t>A 36691-2022</t>
        </is>
      </c>
      <c r="B335" s="1" t="n">
        <v>44805</v>
      </c>
      <c r="C335" s="1" t="n">
        <v>45707</v>
      </c>
      <c r="D335" t="inlineStr">
        <is>
          <t>VÄSTERBOTTENS LÄN</t>
        </is>
      </c>
      <c r="E335" t="inlineStr">
        <is>
          <t>STORUMAN</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45707</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39285-2022</t>
        </is>
      </c>
      <c r="B337" s="1" t="n">
        <v>44817</v>
      </c>
      <c r="C337" s="1" t="n">
        <v>45707</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39260-2022</t>
        </is>
      </c>
      <c r="B338" s="1" t="n">
        <v>44817</v>
      </c>
      <c r="C338" s="1" t="n">
        <v>45707</v>
      </c>
      <c r="D338" t="inlineStr">
        <is>
          <t>VÄSTERBOTTENS LÄN</t>
        </is>
      </c>
      <c r="E338" t="inlineStr">
        <is>
          <t>STORUMAN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39284-2022</t>
        </is>
      </c>
      <c r="B339" s="1" t="n">
        <v>44817</v>
      </c>
      <c r="C339" s="1" t="n">
        <v>45707</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45707</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43655-2022</t>
        </is>
      </c>
      <c r="B341" s="1" t="n">
        <v>44837</v>
      </c>
      <c r="C341" s="1" t="n">
        <v>45707</v>
      </c>
      <c r="D341" t="inlineStr">
        <is>
          <t>VÄSTERBOTTENS LÄN</t>
        </is>
      </c>
      <c r="E341" t="inlineStr">
        <is>
          <t>STORUMAN</t>
        </is>
      </c>
      <c r="F341" t="inlineStr">
        <is>
          <t>Sveaskog</t>
        </is>
      </c>
      <c r="G341" t="n">
        <v>28.6</v>
      </c>
      <c r="H341" t="n">
        <v>0</v>
      </c>
      <c r="I341" t="n">
        <v>0</v>
      </c>
      <c r="J341" t="n">
        <v>0</v>
      </c>
      <c r="K341" t="n">
        <v>0</v>
      </c>
      <c r="L341" t="n">
        <v>0</v>
      </c>
      <c r="M341" t="n">
        <v>0</v>
      </c>
      <c r="N341" t="n">
        <v>0</v>
      </c>
      <c r="O341" t="n">
        <v>0</v>
      </c>
      <c r="P341" t="n">
        <v>0</v>
      </c>
      <c r="Q341" t="n">
        <v>0</v>
      </c>
      <c r="R341" s="2" t="inlineStr"/>
    </row>
    <row r="342" ht="15" customHeight="1">
      <c r="A342" t="inlineStr">
        <is>
          <t>A 43658-2022</t>
        </is>
      </c>
      <c r="B342" s="1" t="n">
        <v>44837</v>
      </c>
      <c r="C342" s="1" t="n">
        <v>45707</v>
      </c>
      <c r="D342" t="inlineStr">
        <is>
          <t>VÄSTERBOTTENS LÄN</t>
        </is>
      </c>
      <c r="E342" t="inlineStr">
        <is>
          <t>STORUMAN</t>
        </is>
      </c>
      <c r="F342" t="inlineStr">
        <is>
          <t>Sveaskog</t>
        </is>
      </c>
      <c r="G342" t="n">
        <v>41.6</v>
      </c>
      <c r="H342" t="n">
        <v>0</v>
      </c>
      <c r="I342" t="n">
        <v>0</v>
      </c>
      <c r="J342" t="n">
        <v>0</v>
      </c>
      <c r="K342" t="n">
        <v>0</v>
      </c>
      <c r="L342" t="n">
        <v>0</v>
      </c>
      <c r="M342" t="n">
        <v>0</v>
      </c>
      <c r="N342" t="n">
        <v>0</v>
      </c>
      <c r="O342" t="n">
        <v>0</v>
      </c>
      <c r="P342" t="n">
        <v>0</v>
      </c>
      <c r="Q342" t="n">
        <v>0</v>
      </c>
      <c r="R342" s="2" t="inlineStr"/>
    </row>
    <row r="343" ht="15" customHeight="1">
      <c r="A343" t="inlineStr">
        <is>
          <t>A 43771-2022</t>
        </is>
      </c>
      <c r="B343" s="1" t="n">
        <v>44838</v>
      </c>
      <c r="C343" s="1" t="n">
        <v>45707</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45707</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46065-2022</t>
        </is>
      </c>
      <c r="B345" s="1" t="n">
        <v>44844</v>
      </c>
      <c r="C345" s="1" t="n">
        <v>45707</v>
      </c>
      <c r="D345" t="inlineStr">
        <is>
          <t>VÄSTERBOTTENS LÄN</t>
        </is>
      </c>
      <c r="E345" t="inlineStr">
        <is>
          <t>STORUMAN</t>
        </is>
      </c>
      <c r="G345" t="n">
        <v>4.2</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45707</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45754-2022</t>
        </is>
      </c>
      <c r="B347" s="1" t="n">
        <v>44846</v>
      </c>
      <c r="C347" s="1" t="n">
        <v>45707</v>
      </c>
      <c r="D347" t="inlineStr">
        <is>
          <t>VÄSTERBOTTENS LÄN</t>
        </is>
      </c>
      <c r="E347" t="inlineStr">
        <is>
          <t>STORUMAN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45756-2022</t>
        </is>
      </c>
      <c r="B348" s="1" t="n">
        <v>44846</v>
      </c>
      <c r="C348" s="1" t="n">
        <v>45707</v>
      </c>
      <c r="D348" t="inlineStr">
        <is>
          <t>VÄSTERBOTTENS LÄN</t>
        </is>
      </c>
      <c r="E348" t="inlineStr">
        <is>
          <t>STORUMAN</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45761-2022</t>
        </is>
      </c>
      <c r="B349" s="1" t="n">
        <v>44846</v>
      </c>
      <c r="C349" s="1" t="n">
        <v>45707</v>
      </c>
      <c r="D349" t="inlineStr">
        <is>
          <t>VÄSTERBOTTENS LÄN</t>
        </is>
      </c>
      <c r="E349" t="inlineStr">
        <is>
          <t>STORUMAN</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46590-2022</t>
        </is>
      </c>
      <c r="B350" s="1" t="n">
        <v>44847</v>
      </c>
      <c r="C350" s="1" t="n">
        <v>45707</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46586-2022</t>
        </is>
      </c>
      <c r="B351" s="1" t="n">
        <v>44847</v>
      </c>
      <c r="C351" s="1" t="n">
        <v>45707</v>
      </c>
      <c r="D351" t="inlineStr">
        <is>
          <t>VÄSTERBOTTENS LÄN</t>
        </is>
      </c>
      <c r="E351" t="inlineStr">
        <is>
          <t>STORUMAN</t>
        </is>
      </c>
      <c r="G351" t="n">
        <v>6.1</v>
      </c>
      <c r="H351" t="n">
        <v>0</v>
      </c>
      <c r="I351" t="n">
        <v>0</v>
      </c>
      <c r="J351" t="n">
        <v>0</v>
      </c>
      <c r="K351" t="n">
        <v>0</v>
      </c>
      <c r="L351" t="n">
        <v>0</v>
      </c>
      <c r="M351" t="n">
        <v>0</v>
      </c>
      <c r="N351" t="n">
        <v>0</v>
      </c>
      <c r="O351" t="n">
        <v>0</v>
      </c>
      <c r="P351" t="n">
        <v>0</v>
      </c>
      <c r="Q351" t="n">
        <v>0</v>
      </c>
      <c r="R351" s="2" t="inlineStr"/>
    </row>
    <row r="352" ht="15" customHeight="1">
      <c r="A352" t="inlineStr">
        <is>
          <t>A 46584-2022</t>
        </is>
      </c>
      <c r="B352" s="1" t="n">
        <v>44847</v>
      </c>
      <c r="C352" s="1" t="n">
        <v>45707</v>
      </c>
      <c r="D352" t="inlineStr">
        <is>
          <t>VÄSTERBOTTENS LÄN</t>
        </is>
      </c>
      <c r="E352" t="inlineStr">
        <is>
          <t>STORUMAN</t>
        </is>
      </c>
      <c r="G352" t="n">
        <v>9.6</v>
      </c>
      <c r="H352" t="n">
        <v>0</v>
      </c>
      <c r="I352" t="n">
        <v>0</v>
      </c>
      <c r="J352" t="n">
        <v>0</v>
      </c>
      <c r="K352" t="n">
        <v>0</v>
      </c>
      <c r="L352" t="n">
        <v>0</v>
      </c>
      <c r="M352" t="n">
        <v>0</v>
      </c>
      <c r="N352" t="n">
        <v>0</v>
      </c>
      <c r="O352" t="n">
        <v>0</v>
      </c>
      <c r="P352" t="n">
        <v>0</v>
      </c>
      <c r="Q352" t="n">
        <v>0</v>
      </c>
      <c r="R352" s="2" t="inlineStr"/>
    </row>
    <row r="353" ht="15" customHeight="1">
      <c r="A353" t="inlineStr">
        <is>
          <t>A 46842-2022</t>
        </is>
      </c>
      <c r="B353" s="1" t="n">
        <v>44851</v>
      </c>
      <c r="C353" s="1" t="n">
        <v>45707</v>
      </c>
      <c r="D353" t="inlineStr">
        <is>
          <t>VÄSTERBOTTENS LÄN</t>
        </is>
      </c>
      <c r="E353" t="inlineStr">
        <is>
          <t>STORUMAN</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46844-2022</t>
        </is>
      </c>
      <c r="B354" s="1" t="n">
        <v>44851</v>
      </c>
      <c r="C354" s="1" t="n">
        <v>45707</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45707</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49084-2022</t>
        </is>
      </c>
      <c r="B356" s="1" t="n">
        <v>44860</v>
      </c>
      <c r="C356" s="1" t="n">
        <v>45707</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49081-2022</t>
        </is>
      </c>
      <c r="B357" s="1" t="n">
        <v>44860</v>
      </c>
      <c r="C357" s="1" t="n">
        <v>45707</v>
      </c>
      <c r="D357" t="inlineStr">
        <is>
          <t>VÄSTERBOTTENS LÄN</t>
        </is>
      </c>
      <c r="E357" t="inlineStr">
        <is>
          <t>STORUMAN</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50913-2022</t>
        </is>
      </c>
      <c r="B358" s="1" t="n">
        <v>44867</v>
      </c>
      <c r="C358" s="1" t="n">
        <v>45707</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50917-2022</t>
        </is>
      </c>
      <c r="B359" s="1" t="n">
        <v>44867</v>
      </c>
      <c r="C359" s="1" t="n">
        <v>45707</v>
      </c>
      <c r="D359" t="inlineStr">
        <is>
          <t>VÄSTERBOTTENS LÄN</t>
        </is>
      </c>
      <c r="E359" t="inlineStr">
        <is>
          <t>STORUMAN</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45707</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52403-2022</t>
        </is>
      </c>
      <c r="B361" s="1" t="n">
        <v>44869</v>
      </c>
      <c r="C361" s="1" t="n">
        <v>45707</v>
      </c>
      <c r="D361" t="inlineStr">
        <is>
          <t>VÄSTERBOTTENS LÄN</t>
        </is>
      </c>
      <c r="E361" t="inlineStr">
        <is>
          <t>STORUMAN</t>
        </is>
      </c>
      <c r="F361" t="inlineStr">
        <is>
          <t>Allmännings- och besparingsskogar</t>
        </is>
      </c>
      <c r="G361" t="n">
        <v>14.7</v>
      </c>
      <c r="H361" t="n">
        <v>0</v>
      </c>
      <c r="I361" t="n">
        <v>0</v>
      </c>
      <c r="J361" t="n">
        <v>0</v>
      </c>
      <c r="K361" t="n">
        <v>0</v>
      </c>
      <c r="L361" t="n">
        <v>0</v>
      </c>
      <c r="M361" t="n">
        <v>0</v>
      </c>
      <c r="N361" t="n">
        <v>0</v>
      </c>
      <c r="O361" t="n">
        <v>0</v>
      </c>
      <c r="P361" t="n">
        <v>0</v>
      </c>
      <c r="Q361" t="n">
        <v>0</v>
      </c>
      <c r="R361" s="2" t="inlineStr"/>
    </row>
    <row r="362" ht="15" customHeight="1">
      <c r="A362" t="inlineStr">
        <is>
          <t>A 54270-2022</t>
        </is>
      </c>
      <c r="B362" s="1" t="n">
        <v>44882</v>
      </c>
      <c r="C362" s="1" t="n">
        <v>45707</v>
      </c>
      <c r="D362" t="inlineStr">
        <is>
          <t>VÄSTERBOTTENS LÄN</t>
        </is>
      </c>
      <c r="E362" t="inlineStr">
        <is>
          <t>STORUMAN</t>
        </is>
      </c>
      <c r="F362" t="inlineStr">
        <is>
          <t>Holmen skog AB</t>
        </is>
      </c>
      <c r="G362" t="n">
        <v>11.2</v>
      </c>
      <c r="H362" t="n">
        <v>0</v>
      </c>
      <c r="I362" t="n">
        <v>0</v>
      </c>
      <c r="J362" t="n">
        <v>0</v>
      </c>
      <c r="K362" t="n">
        <v>0</v>
      </c>
      <c r="L362" t="n">
        <v>0</v>
      </c>
      <c r="M362" t="n">
        <v>0</v>
      </c>
      <c r="N362" t="n">
        <v>0</v>
      </c>
      <c r="O362" t="n">
        <v>0</v>
      </c>
      <c r="P362" t="n">
        <v>0</v>
      </c>
      <c r="Q362" t="n">
        <v>0</v>
      </c>
      <c r="R362" s="2" t="inlineStr"/>
    </row>
    <row r="363" ht="15" customHeight="1">
      <c r="A363" t="inlineStr">
        <is>
          <t>A 55156-2022</t>
        </is>
      </c>
      <c r="B363" s="1" t="n">
        <v>44886</v>
      </c>
      <c r="C363" s="1" t="n">
        <v>45707</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57139-2022</t>
        </is>
      </c>
      <c r="B364" s="1" t="n">
        <v>44889</v>
      </c>
      <c r="C364" s="1" t="n">
        <v>45707</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57341-2022</t>
        </is>
      </c>
      <c r="B365" s="1" t="n">
        <v>44889</v>
      </c>
      <c r="C365" s="1" t="n">
        <v>45707</v>
      </c>
      <c r="D365" t="inlineStr">
        <is>
          <t>VÄSTERBOTTENS LÄN</t>
        </is>
      </c>
      <c r="E365" t="inlineStr">
        <is>
          <t>STORUMAN</t>
        </is>
      </c>
      <c r="G365" t="n">
        <v>1.6</v>
      </c>
      <c r="H365" t="n">
        <v>0</v>
      </c>
      <c r="I365" t="n">
        <v>0</v>
      </c>
      <c r="J365" t="n">
        <v>0</v>
      </c>
      <c r="K365" t="n">
        <v>0</v>
      </c>
      <c r="L365" t="n">
        <v>0</v>
      </c>
      <c r="M365" t="n">
        <v>0</v>
      </c>
      <c r="N365" t="n">
        <v>0</v>
      </c>
      <c r="O365" t="n">
        <v>0</v>
      </c>
      <c r="P365" t="n">
        <v>0</v>
      </c>
      <c r="Q365" t="n">
        <v>0</v>
      </c>
      <c r="R365" s="2" t="inlineStr"/>
    </row>
    <row r="366" ht="15" customHeight="1">
      <c r="A366" t="inlineStr">
        <is>
          <t>A 57340-2022</t>
        </is>
      </c>
      <c r="B366" s="1" t="n">
        <v>44889</v>
      </c>
      <c r="C366" s="1" t="n">
        <v>45707</v>
      </c>
      <c r="D366" t="inlineStr">
        <is>
          <t>VÄSTERBOTTENS LÄN</t>
        </is>
      </c>
      <c r="E366" t="inlineStr">
        <is>
          <t>STORUMAN</t>
        </is>
      </c>
      <c r="G366" t="n">
        <v>14.2</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45707</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59333-2022</t>
        </is>
      </c>
      <c r="B368" s="1" t="n">
        <v>44904</v>
      </c>
      <c r="C368" s="1" t="n">
        <v>45707</v>
      </c>
      <c r="D368" t="inlineStr">
        <is>
          <t>VÄSTERBOTTENS LÄN</t>
        </is>
      </c>
      <c r="E368" t="inlineStr">
        <is>
          <t>STORUMAN</t>
        </is>
      </c>
      <c r="F368" t="inlineStr">
        <is>
          <t>Sveaskog</t>
        </is>
      </c>
      <c r="G368" t="n">
        <v>7</v>
      </c>
      <c r="H368" t="n">
        <v>0</v>
      </c>
      <c r="I368" t="n">
        <v>0</v>
      </c>
      <c r="J368" t="n">
        <v>0</v>
      </c>
      <c r="K368" t="n">
        <v>0</v>
      </c>
      <c r="L368" t="n">
        <v>0</v>
      </c>
      <c r="M368" t="n">
        <v>0</v>
      </c>
      <c r="N368" t="n">
        <v>0</v>
      </c>
      <c r="O368" t="n">
        <v>0</v>
      </c>
      <c r="P368" t="n">
        <v>0</v>
      </c>
      <c r="Q368" t="n">
        <v>0</v>
      </c>
      <c r="R368" s="2" t="inlineStr"/>
    </row>
    <row r="369" ht="15" customHeight="1">
      <c r="A369" t="inlineStr">
        <is>
          <t>A 59359-2022</t>
        </is>
      </c>
      <c r="B369" s="1" t="n">
        <v>44904</v>
      </c>
      <c r="C369" s="1" t="n">
        <v>45707</v>
      </c>
      <c r="D369" t="inlineStr">
        <is>
          <t>VÄSTERBOTTENS LÄN</t>
        </is>
      </c>
      <c r="E369" t="inlineStr">
        <is>
          <t>STORUMAN</t>
        </is>
      </c>
      <c r="G369" t="n">
        <v>3.3</v>
      </c>
      <c r="H369" t="n">
        <v>0</v>
      </c>
      <c r="I369" t="n">
        <v>0</v>
      </c>
      <c r="J369" t="n">
        <v>0</v>
      </c>
      <c r="K369" t="n">
        <v>0</v>
      </c>
      <c r="L369" t="n">
        <v>0</v>
      </c>
      <c r="M369" t="n">
        <v>0</v>
      </c>
      <c r="N369" t="n">
        <v>0</v>
      </c>
      <c r="O369" t="n">
        <v>0</v>
      </c>
      <c r="P369" t="n">
        <v>0</v>
      </c>
      <c r="Q369" t="n">
        <v>0</v>
      </c>
      <c r="R369" s="2" t="inlineStr"/>
    </row>
    <row r="370" ht="15" customHeight="1">
      <c r="A370" t="inlineStr">
        <is>
          <t>A 59572-2022</t>
        </is>
      </c>
      <c r="B370" s="1" t="n">
        <v>44907</v>
      </c>
      <c r="C370" s="1" t="n">
        <v>45707</v>
      </c>
      <c r="D370" t="inlineStr">
        <is>
          <t>VÄSTERBOTTENS LÄN</t>
        </is>
      </c>
      <c r="E370" t="inlineStr">
        <is>
          <t>STORUMAN</t>
        </is>
      </c>
      <c r="F370" t="inlineStr">
        <is>
          <t>Sveaskog</t>
        </is>
      </c>
      <c r="G370" t="n">
        <v>10.1</v>
      </c>
      <c r="H370" t="n">
        <v>0</v>
      </c>
      <c r="I370" t="n">
        <v>0</v>
      </c>
      <c r="J370" t="n">
        <v>0</v>
      </c>
      <c r="K370" t="n">
        <v>0</v>
      </c>
      <c r="L370" t="n">
        <v>0</v>
      </c>
      <c r="M370" t="n">
        <v>0</v>
      </c>
      <c r="N370" t="n">
        <v>0</v>
      </c>
      <c r="O370" t="n">
        <v>0</v>
      </c>
      <c r="P370" t="n">
        <v>0</v>
      </c>
      <c r="Q370" t="n">
        <v>0</v>
      </c>
      <c r="R370" s="2" t="inlineStr"/>
    </row>
    <row r="371" ht="15" customHeight="1">
      <c r="A371" t="inlineStr">
        <is>
          <t>A 60093-2022</t>
        </is>
      </c>
      <c r="B371" s="1" t="n">
        <v>44909</v>
      </c>
      <c r="C371" s="1" t="n">
        <v>45707</v>
      </c>
      <c r="D371" t="inlineStr">
        <is>
          <t>VÄSTERBOTTENS LÄN</t>
        </is>
      </c>
      <c r="E371" t="inlineStr">
        <is>
          <t>STORUMAN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61737-2022</t>
        </is>
      </c>
      <c r="B372" s="1" t="n">
        <v>44917</v>
      </c>
      <c r="C372" s="1" t="n">
        <v>45707</v>
      </c>
      <c r="D372" t="inlineStr">
        <is>
          <t>VÄSTERBOTTENS LÄN</t>
        </is>
      </c>
      <c r="E372" t="inlineStr">
        <is>
          <t>STORUMAN</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61850-2022</t>
        </is>
      </c>
      <c r="B373" s="1" t="n">
        <v>44917</v>
      </c>
      <c r="C373" s="1" t="n">
        <v>45707</v>
      </c>
      <c r="D373" t="inlineStr">
        <is>
          <t>VÄSTERBOTTENS LÄN</t>
        </is>
      </c>
      <c r="E373" t="inlineStr">
        <is>
          <t>STORUMAN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61846-2022</t>
        </is>
      </c>
      <c r="B374" s="1" t="n">
        <v>44917</v>
      </c>
      <c r="C374" s="1" t="n">
        <v>45707</v>
      </c>
      <c r="D374" t="inlineStr">
        <is>
          <t>VÄSTERBOTTENS LÄN</t>
        </is>
      </c>
      <c r="E374" t="inlineStr">
        <is>
          <t>STORUMAN</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61852-2022</t>
        </is>
      </c>
      <c r="B375" s="1" t="n">
        <v>44917</v>
      </c>
      <c r="C375" s="1" t="n">
        <v>45707</v>
      </c>
      <c r="D375" t="inlineStr">
        <is>
          <t>VÄSTERBOTTENS LÄN</t>
        </is>
      </c>
      <c r="E375" t="inlineStr">
        <is>
          <t>STORUMAN</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916-2023</t>
        </is>
      </c>
      <c r="B376" s="1" t="n">
        <v>44931</v>
      </c>
      <c r="C376" s="1" t="n">
        <v>45707</v>
      </c>
      <c r="D376" t="inlineStr">
        <is>
          <t>VÄSTERBOTTENS LÄN</t>
        </is>
      </c>
      <c r="E376" t="inlineStr">
        <is>
          <t>STORUMAN</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2163-2023</t>
        </is>
      </c>
      <c r="B377" s="1" t="n">
        <v>44941</v>
      </c>
      <c r="C377" s="1" t="n">
        <v>45707</v>
      </c>
      <c r="D377" t="inlineStr">
        <is>
          <t>VÄSTERBOTTENS LÄN</t>
        </is>
      </c>
      <c r="E377" t="inlineStr">
        <is>
          <t>STORUMAN</t>
        </is>
      </c>
      <c r="G377" t="n">
        <v>15.4</v>
      </c>
      <c r="H377" t="n">
        <v>0</v>
      </c>
      <c r="I377" t="n">
        <v>0</v>
      </c>
      <c r="J377" t="n">
        <v>0</v>
      </c>
      <c r="K377" t="n">
        <v>0</v>
      </c>
      <c r="L377" t="n">
        <v>0</v>
      </c>
      <c r="M377" t="n">
        <v>0</v>
      </c>
      <c r="N377" t="n">
        <v>0</v>
      </c>
      <c r="O377" t="n">
        <v>0</v>
      </c>
      <c r="P377" t="n">
        <v>0</v>
      </c>
      <c r="Q377" t="n">
        <v>0</v>
      </c>
      <c r="R377" s="2" t="inlineStr"/>
    </row>
    <row r="378" ht="15" customHeight="1">
      <c r="A378" t="inlineStr">
        <is>
          <t>A 6549-2023</t>
        </is>
      </c>
      <c r="B378" s="1" t="n">
        <v>44966</v>
      </c>
      <c r="C378" s="1" t="n">
        <v>45707</v>
      </c>
      <c r="D378" t="inlineStr">
        <is>
          <t>VÄSTERBOTTENS LÄN</t>
        </is>
      </c>
      <c r="E378" t="inlineStr">
        <is>
          <t>STORUMAN</t>
        </is>
      </c>
      <c r="G378" t="n">
        <v>7.3</v>
      </c>
      <c r="H378" t="n">
        <v>0</v>
      </c>
      <c r="I378" t="n">
        <v>0</v>
      </c>
      <c r="J378" t="n">
        <v>0</v>
      </c>
      <c r="K378" t="n">
        <v>0</v>
      </c>
      <c r="L378" t="n">
        <v>0</v>
      </c>
      <c r="M378" t="n">
        <v>0</v>
      </c>
      <c r="N378" t="n">
        <v>0</v>
      </c>
      <c r="O378" t="n">
        <v>0</v>
      </c>
      <c r="P378" t="n">
        <v>0</v>
      </c>
      <c r="Q378" t="n">
        <v>0</v>
      </c>
      <c r="R378" s="2" t="inlineStr"/>
    </row>
    <row r="379" ht="15" customHeight="1">
      <c r="A379" t="inlineStr">
        <is>
          <t>A 6762-2023</t>
        </is>
      </c>
      <c r="B379" s="1" t="n">
        <v>44966</v>
      </c>
      <c r="C379" s="1" t="n">
        <v>45707</v>
      </c>
      <c r="D379" t="inlineStr">
        <is>
          <t>VÄSTERBOTTENS LÄN</t>
        </is>
      </c>
      <c r="E379" t="inlineStr">
        <is>
          <t>STORUMAN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6760-2023</t>
        </is>
      </c>
      <c r="B380" s="1" t="n">
        <v>44966</v>
      </c>
      <c r="C380" s="1" t="n">
        <v>45707</v>
      </c>
      <c r="D380" t="inlineStr">
        <is>
          <t>VÄSTERBOTTENS LÄN</t>
        </is>
      </c>
      <c r="E380" t="inlineStr">
        <is>
          <t>STORUMAN</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6758-2023</t>
        </is>
      </c>
      <c r="B381" s="1" t="n">
        <v>44966</v>
      </c>
      <c r="C381" s="1" t="n">
        <v>45707</v>
      </c>
      <c r="D381" t="inlineStr">
        <is>
          <t>VÄSTERBOTTENS LÄN</t>
        </is>
      </c>
      <c r="E381" t="inlineStr">
        <is>
          <t>STORUMAN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7006-2023</t>
        </is>
      </c>
      <c r="B382" s="1" t="n">
        <v>44967</v>
      </c>
      <c r="C382" s="1" t="n">
        <v>45707</v>
      </c>
      <c r="D382" t="inlineStr">
        <is>
          <t>VÄSTERBOTTENS LÄN</t>
        </is>
      </c>
      <c r="E382" t="inlineStr">
        <is>
          <t>STORUMAN</t>
        </is>
      </c>
      <c r="G382" t="n">
        <v>22</v>
      </c>
      <c r="H382" t="n">
        <v>0</v>
      </c>
      <c r="I382" t="n">
        <v>0</v>
      </c>
      <c r="J382" t="n">
        <v>0</v>
      </c>
      <c r="K382" t="n">
        <v>0</v>
      </c>
      <c r="L382" t="n">
        <v>0</v>
      </c>
      <c r="M382" t="n">
        <v>0</v>
      </c>
      <c r="N382" t="n">
        <v>0</v>
      </c>
      <c r="O382" t="n">
        <v>0</v>
      </c>
      <c r="P382" t="n">
        <v>0</v>
      </c>
      <c r="Q382" t="n">
        <v>0</v>
      </c>
      <c r="R382" s="2" t="inlineStr"/>
    </row>
    <row r="383" ht="15" customHeight="1">
      <c r="A383" t="inlineStr">
        <is>
          <t>A 8209-2023</t>
        </is>
      </c>
      <c r="B383" s="1" t="n">
        <v>44971</v>
      </c>
      <c r="C383" s="1" t="n">
        <v>45707</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7671-2023</t>
        </is>
      </c>
      <c r="B384" s="1" t="n">
        <v>44972</v>
      </c>
      <c r="C384" s="1" t="n">
        <v>45707</v>
      </c>
      <c r="D384" t="inlineStr">
        <is>
          <t>VÄSTERBOTTENS LÄN</t>
        </is>
      </c>
      <c r="E384" t="inlineStr">
        <is>
          <t>STORUMAN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45707</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12359-2023</t>
        </is>
      </c>
      <c r="B386" s="1" t="n">
        <v>44995</v>
      </c>
      <c r="C386" s="1" t="n">
        <v>45707</v>
      </c>
      <c r="D386" t="inlineStr">
        <is>
          <t>VÄSTERBOTTENS LÄN</t>
        </is>
      </c>
      <c r="E386" t="inlineStr">
        <is>
          <t>STORUMAN</t>
        </is>
      </c>
      <c r="F386" t="inlineStr">
        <is>
          <t>Allmännings- och besparingsskogar</t>
        </is>
      </c>
      <c r="G386" t="n">
        <v>449.5</v>
      </c>
      <c r="H386" t="n">
        <v>0</v>
      </c>
      <c r="I386" t="n">
        <v>0</v>
      </c>
      <c r="J386" t="n">
        <v>0</v>
      </c>
      <c r="K386" t="n">
        <v>0</v>
      </c>
      <c r="L386" t="n">
        <v>0</v>
      </c>
      <c r="M386" t="n">
        <v>0</v>
      </c>
      <c r="N386" t="n">
        <v>0</v>
      </c>
      <c r="O386" t="n">
        <v>0</v>
      </c>
      <c r="P386" t="n">
        <v>0</v>
      </c>
      <c r="Q386" t="n">
        <v>0</v>
      </c>
      <c r="R386" s="2" t="inlineStr"/>
    </row>
    <row r="387" ht="15" customHeight="1">
      <c r="A387" t="inlineStr">
        <is>
          <t>A 12081-2023</t>
        </is>
      </c>
      <c r="B387" s="1" t="n">
        <v>44997</v>
      </c>
      <c r="C387" s="1" t="n">
        <v>45707</v>
      </c>
      <c r="D387" t="inlineStr">
        <is>
          <t>VÄSTERBOTTENS LÄN</t>
        </is>
      </c>
      <c r="E387" t="inlineStr">
        <is>
          <t>STORUMAN</t>
        </is>
      </c>
      <c r="G387" t="n">
        <v>0.7</v>
      </c>
      <c r="H387" t="n">
        <v>0</v>
      </c>
      <c r="I387" t="n">
        <v>0</v>
      </c>
      <c r="J387" t="n">
        <v>0</v>
      </c>
      <c r="K387" t="n">
        <v>0</v>
      </c>
      <c r="L387" t="n">
        <v>0</v>
      </c>
      <c r="M387" t="n">
        <v>0</v>
      </c>
      <c r="N387" t="n">
        <v>0</v>
      </c>
      <c r="O387" t="n">
        <v>0</v>
      </c>
      <c r="P387" t="n">
        <v>0</v>
      </c>
      <c r="Q387" t="n">
        <v>0</v>
      </c>
      <c r="R387" s="2" t="inlineStr"/>
    </row>
    <row r="388" ht="15" customHeight="1">
      <c r="A388" t="inlineStr">
        <is>
          <t>A 12561-2023</t>
        </is>
      </c>
      <c r="B388" s="1" t="n">
        <v>44998</v>
      </c>
      <c r="C388" s="1" t="n">
        <v>45707</v>
      </c>
      <c r="D388" t="inlineStr">
        <is>
          <t>VÄSTERBOTTENS LÄN</t>
        </is>
      </c>
      <c r="E388" t="inlineStr">
        <is>
          <t>STORUMAN</t>
        </is>
      </c>
      <c r="F388" t="inlineStr">
        <is>
          <t>Övriga statliga verk och myndigheter</t>
        </is>
      </c>
      <c r="G388" t="n">
        <v>6.9</v>
      </c>
      <c r="H388" t="n">
        <v>0</v>
      </c>
      <c r="I388" t="n">
        <v>0</v>
      </c>
      <c r="J388" t="n">
        <v>0</v>
      </c>
      <c r="K388" t="n">
        <v>0</v>
      </c>
      <c r="L388" t="n">
        <v>0</v>
      </c>
      <c r="M388" t="n">
        <v>0</v>
      </c>
      <c r="N388" t="n">
        <v>0</v>
      </c>
      <c r="O388" t="n">
        <v>0</v>
      </c>
      <c r="P388" t="n">
        <v>0</v>
      </c>
      <c r="Q388" t="n">
        <v>0</v>
      </c>
      <c r="R388" s="2" t="inlineStr"/>
    </row>
    <row r="389" ht="15" customHeight="1">
      <c r="A389" t="inlineStr">
        <is>
          <t>A 12550-2023</t>
        </is>
      </c>
      <c r="B389" s="1" t="n">
        <v>44998</v>
      </c>
      <c r="C389" s="1" t="n">
        <v>45707</v>
      </c>
      <c r="D389" t="inlineStr">
        <is>
          <t>VÄSTERBOTTENS LÄN</t>
        </is>
      </c>
      <c r="E389" t="inlineStr">
        <is>
          <t>STORUMAN</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12436-2023</t>
        </is>
      </c>
      <c r="B390" s="1" t="n">
        <v>44998</v>
      </c>
      <c r="C390" s="1" t="n">
        <v>45707</v>
      </c>
      <c r="D390" t="inlineStr">
        <is>
          <t>VÄSTERBOTTENS LÄN</t>
        </is>
      </c>
      <c r="E390" t="inlineStr">
        <is>
          <t>STORUMAN</t>
        </is>
      </c>
      <c r="G390" t="n">
        <v>16.5</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45707</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13441-2023</t>
        </is>
      </c>
      <c r="B392" s="1" t="n">
        <v>45005</v>
      </c>
      <c r="C392" s="1" t="n">
        <v>45707</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13430-2023</t>
        </is>
      </c>
      <c r="B393" s="1" t="n">
        <v>45005</v>
      </c>
      <c r="C393" s="1" t="n">
        <v>45707</v>
      </c>
      <c r="D393" t="inlineStr">
        <is>
          <t>VÄSTERBOTTENS LÄN</t>
        </is>
      </c>
      <c r="E393" t="inlineStr">
        <is>
          <t>STORUMAN</t>
        </is>
      </c>
      <c r="G393" t="n">
        <v>7.3</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45707</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14956-2023</t>
        </is>
      </c>
      <c r="B395" s="1" t="n">
        <v>45014</v>
      </c>
      <c r="C395" s="1" t="n">
        <v>45707</v>
      </c>
      <c r="D395" t="inlineStr">
        <is>
          <t>VÄSTERBOTTENS LÄN</t>
        </is>
      </c>
      <c r="E395" t="inlineStr">
        <is>
          <t>STORUMAN</t>
        </is>
      </c>
      <c r="G395" t="n">
        <v>0.8</v>
      </c>
      <c r="H395" t="n">
        <v>0</v>
      </c>
      <c r="I395" t="n">
        <v>0</v>
      </c>
      <c r="J395" t="n">
        <v>0</v>
      </c>
      <c r="K395" t="n">
        <v>0</v>
      </c>
      <c r="L395" t="n">
        <v>0</v>
      </c>
      <c r="M395" t="n">
        <v>0</v>
      </c>
      <c r="N395" t="n">
        <v>0</v>
      </c>
      <c r="O395" t="n">
        <v>0</v>
      </c>
      <c r="P395" t="n">
        <v>0</v>
      </c>
      <c r="Q395" t="n">
        <v>0</v>
      </c>
      <c r="R395" s="2" t="inlineStr"/>
    </row>
    <row r="396" ht="15" customHeight="1">
      <c r="A396" t="inlineStr">
        <is>
          <t>A 14953-2023</t>
        </is>
      </c>
      <c r="B396" s="1" t="n">
        <v>45014</v>
      </c>
      <c r="C396" s="1" t="n">
        <v>45707</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15339-2023</t>
        </is>
      </c>
      <c r="B397" s="1" t="n">
        <v>45016</v>
      </c>
      <c r="C397" s="1" t="n">
        <v>45707</v>
      </c>
      <c r="D397" t="inlineStr">
        <is>
          <t>VÄSTERBOTTENS LÄN</t>
        </is>
      </c>
      <c r="E397" t="inlineStr">
        <is>
          <t>STORUMAN</t>
        </is>
      </c>
      <c r="G397" t="n">
        <v>97.5</v>
      </c>
      <c r="H397" t="n">
        <v>0</v>
      </c>
      <c r="I397" t="n">
        <v>0</v>
      </c>
      <c r="J397" t="n">
        <v>0</v>
      </c>
      <c r="K397" t="n">
        <v>0</v>
      </c>
      <c r="L397" t="n">
        <v>0</v>
      </c>
      <c r="M397" t="n">
        <v>0</v>
      </c>
      <c r="N397" t="n">
        <v>0</v>
      </c>
      <c r="O397" t="n">
        <v>0</v>
      </c>
      <c r="P397" t="n">
        <v>0</v>
      </c>
      <c r="Q397" t="n">
        <v>0</v>
      </c>
      <c r="R397" s="2" t="inlineStr"/>
    </row>
    <row r="398" ht="15" customHeight="1">
      <c r="A398" t="inlineStr">
        <is>
          <t>A 15804-2023</t>
        </is>
      </c>
      <c r="B398" s="1" t="n">
        <v>45021</v>
      </c>
      <c r="C398" s="1" t="n">
        <v>45707</v>
      </c>
      <c r="D398" t="inlineStr">
        <is>
          <t>VÄSTERBOTTENS LÄN</t>
        </is>
      </c>
      <c r="E398" t="inlineStr">
        <is>
          <t>STORUMAN</t>
        </is>
      </c>
      <c r="G398" t="n">
        <v>15.5</v>
      </c>
      <c r="H398" t="n">
        <v>0</v>
      </c>
      <c r="I398" t="n">
        <v>0</v>
      </c>
      <c r="J398" t="n">
        <v>0</v>
      </c>
      <c r="K398" t="n">
        <v>0</v>
      </c>
      <c r="L398" t="n">
        <v>0</v>
      </c>
      <c r="M398" t="n">
        <v>0</v>
      </c>
      <c r="N398" t="n">
        <v>0</v>
      </c>
      <c r="O398" t="n">
        <v>0</v>
      </c>
      <c r="P398" t="n">
        <v>0</v>
      </c>
      <c r="Q398" t="n">
        <v>0</v>
      </c>
      <c r="R398" s="2" t="inlineStr"/>
    </row>
    <row r="399" ht="15" customHeight="1">
      <c r="A399" t="inlineStr">
        <is>
          <t>A 15822-2023</t>
        </is>
      </c>
      <c r="B399" s="1" t="n">
        <v>45022</v>
      </c>
      <c r="C399" s="1" t="n">
        <v>45707</v>
      </c>
      <c r="D399" t="inlineStr">
        <is>
          <t>VÄSTERBOTTENS LÄN</t>
        </is>
      </c>
      <c r="E399" t="inlineStr">
        <is>
          <t>STORUMAN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15819-2023</t>
        </is>
      </c>
      <c r="B400" s="1" t="n">
        <v>45022</v>
      </c>
      <c r="C400" s="1" t="n">
        <v>45707</v>
      </c>
      <c r="D400" t="inlineStr">
        <is>
          <t>VÄSTERBOTTENS LÄN</t>
        </is>
      </c>
      <c r="E400" t="inlineStr">
        <is>
          <t>STORUMAN</t>
        </is>
      </c>
      <c r="F400" t="inlineStr">
        <is>
          <t>SCA</t>
        </is>
      </c>
      <c r="G400" t="n">
        <v>12.1</v>
      </c>
      <c r="H400" t="n">
        <v>0</v>
      </c>
      <c r="I400" t="n">
        <v>0</v>
      </c>
      <c r="J400" t="n">
        <v>0</v>
      </c>
      <c r="K400" t="n">
        <v>0</v>
      </c>
      <c r="L400" t="n">
        <v>0</v>
      </c>
      <c r="M400" t="n">
        <v>0</v>
      </c>
      <c r="N400" t="n">
        <v>0</v>
      </c>
      <c r="O400" t="n">
        <v>0</v>
      </c>
      <c r="P400" t="n">
        <v>0</v>
      </c>
      <c r="Q400" t="n">
        <v>0</v>
      </c>
      <c r="R400" s="2" t="inlineStr"/>
    </row>
    <row r="401" ht="15" customHeight="1">
      <c r="A401" t="inlineStr">
        <is>
          <t>A 18262-2023</t>
        </is>
      </c>
      <c r="B401" s="1" t="n">
        <v>45040</v>
      </c>
      <c r="C401" s="1" t="n">
        <v>45707</v>
      </c>
      <c r="D401" t="inlineStr">
        <is>
          <t>VÄSTERBOTTENS LÄN</t>
        </is>
      </c>
      <c r="E401" t="inlineStr">
        <is>
          <t>STORUMAN</t>
        </is>
      </c>
      <c r="G401" t="n">
        <v>6.2</v>
      </c>
      <c r="H401" t="n">
        <v>0</v>
      </c>
      <c r="I401" t="n">
        <v>0</v>
      </c>
      <c r="J401" t="n">
        <v>0</v>
      </c>
      <c r="K401" t="n">
        <v>0</v>
      </c>
      <c r="L401" t="n">
        <v>0</v>
      </c>
      <c r="M401" t="n">
        <v>0</v>
      </c>
      <c r="N401" t="n">
        <v>0</v>
      </c>
      <c r="O401" t="n">
        <v>0</v>
      </c>
      <c r="P401" t="n">
        <v>0</v>
      </c>
      <c r="Q401" t="n">
        <v>0</v>
      </c>
      <c r="R401" s="2" t="inlineStr"/>
    </row>
    <row r="402" ht="15" customHeight="1">
      <c r="A402" t="inlineStr">
        <is>
          <t>A 18846-2023</t>
        </is>
      </c>
      <c r="B402" s="1" t="n">
        <v>45042</v>
      </c>
      <c r="C402" s="1" t="n">
        <v>45707</v>
      </c>
      <c r="D402" t="inlineStr">
        <is>
          <t>VÄSTERBOTTENS LÄN</t>
        </is>
      </c>
      <c r="E402" t="inlineStr">
        <is>
          <t>STORUMAN</t>
        </is>
      </c>
      <c r="G402" t="n">
        <v>17.7</v>
      </c>
      <c r="H402" t="n">
        <v>0</v>
      </c>
      <c r="I402" t="n">
        <v>0</v>
      </c>
      <c r="J402" t="n">
        <v>0</v>
      </c>
      <c r="K402" t="n">
        <v>0</v>
      </c>
      <c r="L402" t="n">
        <v>0</v>
      </c>
      <c r="M402" t="n">
        <v>0</v>
      </c>
      <c r="N402" t="n">
        <v>0</v>
      </c>
      <c r="O402" t="n">
        <v>0</v>
      </c>
      <c r="P402" t="n">
        <v>0</v>
      </c>
      <c r="Q402" t="n">
        <v>0</v>
      </c>
      <c r="R402" s="2" t="inlineStr"/>
    </row>
    <row r="403" ht="15" customHeight="1">
      <c r="A403" t="inlineStr">
        <is>
          <t>A 19326-2023</t>
        </is>
      </c>
      <c r="B403" s="1" t="n">
        <v>45049</v>
      </c>
      <c r="C403" s="1" t="n">
        <v>45707</v>
      </c>
      <c r="D403" t="inlineStr">
        <is>
          <t>VÄSTERBOTTENS LÄN</t>
        </is>
      </c>
      <c r="E403" t="inlineStr">
        <is>
          <t>STORUMAN</t>
        </is>
      </c>
      <c r="G403" t="n">
        <v>35.3</v>
      </c>
      <c r="H403" t="n">
        <v>0</v>
      </c>
      <c r="I403" t="n">
        <v>0</v>
      </c>
      <c r="J403" t="n">
        <v>0</v>
      </c>
      <c r="K403" t="n">
        <v>0</v>
      </c>
      <c r="L403" t="n">
        <v>0</v>
      </c>
      <c r="M403" t="n">
        <v>0</v>
      </c>
      <c r="N403" t="n">
        <v>0</v>
      </c>
      <c r="O403" t="n">
        <v>0</v>
      </c>
      <c r="P403" t="n">
        <v>0</v>
      </c>
      <c r="Q403" t="n">
        <v>0</v>
      </c>
      <c r="R403" s="2" t="inlineStr"/>
    </row>
    <row r="404" ht="15" customHeight="1">
      <c r="A404" t="inlineStr">
        <is>
          <t>A 19605-2023</t>
        </is>
      </c>
      <c r="B404" s="1" t="n">
        <v>45050</v>
      </c>
      <c r="C404" s="1" t="n">
        <v>45707</v>
      </c>
      <c r="D404" t="inlineStr">
        <is>
          <t>VÄSTERBOTTENS LÄN</t>
        </is>
      </c>
      <c r="E404" t="inlineStr">
        <is>
          <t>STORUMAN</t>
        </is>
      </c>
      <c r="G404" t="n">
        <v>14.8</v>
      </c>
      <c r="H404" t="n">
        <v>0</v>
      </c>
      <c r="I404" t="n">
        <v>0</v>
      </c>
      <c r="J404" t="n">
        <v>0</v>
      </c>
      <c r="K404" t="n">
        <v>0</v>
      </c>
      <c r="L404" t="n">
        <v>0</v>
      </c>
      <c r="M404" t="n">
        <v>0</v>
      </c>
      <c r="N404" t="n">
        <v>0</v>
      </c>
      <c r="O404" t="n">
        <v>0</v>
      </c>
      <c r="P404" t="n">
        <v>0</v>
      </c>
      <c r="Q404" t="n">
        <v>0</v>
      </c>
      <c r="R404" s="2" t="inlineStr"/>
    </row>
    <row r="405" ht="15" customHeight="1">
      <c r="A405" t="inlineStr">
        <is>
          <t>A 19607-2023</t>
        </is>
      </c>
      <c r="B405" s="1" t="n">
        <v>45051</v>
      </c>
      <c r="C405" s="1" t="n">
        <v>45707</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19606-2023</t>
        </is>
      </c>
      <c r="B406" s="1" t="n">
        <v>45051</v>
      </c>
      <c r="C406" s="1" t="n">
        <v>45707</v>
      </c>
      <c r="D406" t="inlineStr">
        <is>
          <t>VÄSTERBOTTENS LÄN</t>
        </is>
      </c>
      <c r="E406" t="inlineStr">
        <is>
          <t>STORUMAN</t>
        </is>
      </c>
      <c r="G406" t="n">
        <v>28.6</v>
      </c>
      <c r="H406" t="n">
        <v>0</v>
      </c>
      <c r="I406" t="n">
        <v>0</v>
      </c>
      <c r="J406" t="n">
        <v>0</v>
      </c>
      <c r="K406" t="n">
        <v>0</v>
      </c>
      <c r="L406" t="n">
        <v>0</v>
      </c>
      <c r="M406" t="n">
        <v>0</v>
      </c>
      <c r="N406" t="n">
        <v>0</v>
      </c>
      <c r="O406" t="n">
        <v>0</v>
      </c>
      <c r="P406" t="n">
        <v>0</v>
      </c>
      <c r="Q406" t="n">
        <v>0</v>
      </c>
      <c r="R406" s="2" t="inlineStr"/>
    </row>
    <row r="407" ht="15" customHeight="1">
      <c r="A407" t="inlineStr">
        <is>
          <t>A 20451-2023</t>
        </is>
      </c>
      <c r="B407" s="1" t="n">
        <v>45056</v>
      </c>
      <c r="C407" s="1" t="n">
        <v>45707</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23138-2023</t>
        </is>
      </c>
      <c r="B408" s="1" t="n">
        <v>45075</v>
      </c>
      <c r="C408" s="1" t="n">
        <v>45707</v>
      </c>
      <c r="D408" t="inlineStr">
        <is>
          <t>VÄSTERBOTTENS LÄN</t>
        </is>
      </c>
      <c r="E408" t="inlineStr">
        <is>
          <t>STORUMAN</t>
        </is>
      </c>
      <c r="F408" t="inlineStr">
        <is>
          <t>Sveaskog</t>
        </is>
      </c>
      <c r="G408" t="n">
        <v>8.5</v>
      </c>
      <c r="H408" t="n">
        <v>0</v>
      </c>
      <c r="I408" t="n">
        <v>0</v>
      </c>
      <c r="J408" t="n">
        <v>0</v>
      </c>
      <c r="K408" t="n">
        <v>0</v>
      </c>
      <c r="L408" t="n">
        <v>0</v>
      </c>
      <c r="M408" t="n">
        <v>0</v>
      </c>
      <c r="N408" t="n">
        <v>0</v>
      </c>
      <c r="O408" t="n">
        <v>0</v>
      </c>
      <c r="P408" t="n">
        <v>0</v>
      </c>
      <c r="Q408" t="n">
        <v>0</v>
      </c>
      <c r="R408" s="2" t="inlineStr"/>
    </row>
    <row r="409" ht="15" customHeight="1">
      <c r="A409" t="inlineStr">
        <is>
          <t>A 24691-2023</t>
        </is>
      </c>
      <c r="B409" s="1" t="n">
        <v>45077</v>
      </c>
      <c r="C409" s="1" t="n">
        <v>45707</v>
      </c>
      <c r="D409" t="inlineStr">
        <is>
          <t>VÄSTERBOTTENS LÄN</t>
        </is>
      </c>
      <c r="E409" t="inlineStr">
        <is>
          <t>STORUMAN</t>
        </is>
      </c>
      <c r="G409" t="n">
        <v>929</v>
      </c>
      <c r="H409" t="n">
        <v>0</v>
      </c>
      <c r="I409" t="n">
        <v>0</v>
      </c>
      <c r="J409" t="n">
        <v>0</v>
      </c>
      <c r="K409" t="n">
        <v>0</v>
      </c>
      <c r="L409" t="n">
        <v>0</v>
      </c>
      <c r="M409" t="n">
        <v>0</v>
      </c>
      <c r="N409" t="n">
        <v>0</v>
      </c>
      <c r="O409" t="n">
        <v>0</v>
      </c>
      <c r="P409" t="n">
        <v>0</v>
      </c>
      <c r="Q409" t="n">
        <v>0</v>
      </c>
      <c r="R409" s="2" t="inlineStr"/>
    </row>
    <row r="410" ht="15" customHeight="1">
      <c r="A410" t="inlineStr">
        <is>
          <t>A 25111-2023</t>
        </is>
      </c>
      <c r="B410" s="1" t="n">
        <v>45078</v>
      </c>
      <c r="C410" s="1" t="n">
        <v>45707</v>
      </c>
      <c r="D410" t="inlineStr">
        <is>
          <t>VÄSTERBOTTENS LÄN</t>
        </is>
      </c>
      <c r="E410" t="inlineStr">
        <is>
          <t>STORUMAN</t>
        </is>
      </c>
      <c r="F410" t="inlineStr">
        <is>
          <t>Övriga statliga verk och myndigheter</t>
        </is>
      </c>
      <c r="G410" t="n">
        <v>445.5</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45707</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45707</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45707</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45707</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45707</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45707</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45707</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45707</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45707</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45707</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45707</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45707</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45707</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45707</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45707</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45707</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45707</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45707</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45707</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45707</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45707</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45707</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45707</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45707</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45707</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45707</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45707</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45707</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45707</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45707</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45707</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45707</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45707</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45707</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45707</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45707</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45707</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45707</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45707</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45707</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45707</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45707</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45707</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45707</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45707</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45707</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45707</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45707</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45707</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45707</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45707</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45707</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45707</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45707</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45707</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45707</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45707</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45707</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45707</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45707</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45707</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45707</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45707</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45707</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45707</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45707</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45707</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45707</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45707</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45707</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45707</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45707</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45707</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45707</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45707</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45707</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45707</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45707</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45707</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45707</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45707</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45707</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45707</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45707</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45707</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45707</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45707</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45707</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45707</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45707</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45707</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45707</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45707</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45707</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45707</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45707</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45707</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45707</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45707</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45707</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45707</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45707</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45707</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45707</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45707</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45707</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45707</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45707</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45707</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45707</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45707</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45707</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45707</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45707</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45707</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45707</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45707</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45707</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45707</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45707</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45707</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45707</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45707</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45707</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45707</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45707</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45707</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45707</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45707</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45707</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45707</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45707</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45707</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45707</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45707</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45707</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45707</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45707</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45707</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45707</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45707</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45707</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45707</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45707</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45707</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45707</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45707</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45707</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45707</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45707</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45707</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45707</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45707</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45707</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45707</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45707</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45707</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45707</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45707</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45707</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45707</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45707</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45707</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45707</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45707</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45707</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45707</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45707</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45707</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45707</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45707</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45707</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45707</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45707</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45707</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45707</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45707</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45707</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45707</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45707</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45707</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45707</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45707</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45707</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45707</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45707</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45707</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45707</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45707</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45707</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45707</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45707</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45707</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45707</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45707</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45707</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45707</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45707</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45707</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45707</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45707</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45707</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45707</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45707</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45707</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45707</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45707</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45707</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45707</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45707</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45707</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45707</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45707</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45707</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45707</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45707</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45707</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45707</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45707</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45707</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45707</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45707</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45707</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45707</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6553-2025</t>
        </is>
      </c>
      <c r="B635" s="1" t="n">
        <v>45699</v>
      </c>
      <c r="C635" s="1" t="n">
        <v>45707</v>
      </c>
      <c r="D635" t="inlineStr">
        <is>
          <t>VÄSTERBOTTENS LÄN</t>
        </is>
      </c>
      <c r="E635" t="inlineStr">
        <is>
          <t>STORUMAN</t>
        </is>
      </c>
      <c r="G635" t="n">
        <v>6.5</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45707</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45707</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45707</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45707</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c r="A640" t="inlineStr">
        <is>
          <t>A 7446-2025</t>
        </is>
      </c>
      <c r="B640" s="1" t="n">
        <v>45705</v>
      </c>
      <c r="C640" s="1" t="n">
        <v>45707</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2025-02-19T16:52:29Z</dcterms:created>
  <dcterms:modified xmlns:dcterms="http://purl.org/dc/terms/" xmlns:xsi="http://www.w3.org/2001/XMLSchema-instance" xsi:type="dcterms:W3CDTF">2025-02-19T16:52:29Z</dcterms:modified>
</cp:coreProperties>
</file>