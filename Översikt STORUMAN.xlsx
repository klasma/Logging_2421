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46266</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46266</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46266</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46266</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46266</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46266</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59219-2022</t>
        </is>
      </c>
      <c r="B8" t="inlineStr">
        <is>
          <t>avverkningsanmälan</t>
        </is>
      </c>
      <c r="C8" t="inlineStr">
        <is>
          <t>Föryngringsavverkning</t>
        </is>
      </c>
      <c r="D8" s="1" t="n">
        <v>44904</v>
      </c>
      <c r="E8" s="1" t="n">
        <v>46266</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3379-2022</t>
        </is>
      </c>
      <c r="B9" t="inlineStr">
        <is>
          <t>avverkningsanmälan</t>
        </is>
      </c>
      <c r="C9" t="inlineStr">
        <is>
          <t>Föryngringsavverkning</t>
        </is>
      </c>
      <c r="D9" s="1" t="n">
        <v>44585</v>
      </c>
      <c r="E9" s="1" t="n">
        <v>46266</v>
      </c>
      <c r="F9" t="inlineStr">
        <is>
          <t>VÄSTERBOTTENS LÄN</t>
        </is>
      </c>
      <c r="G9" t="inlineStr">
        <is>
          <t>STORUMAN</t>
        </is>
      </c>
      <c r="I9" t="n">
        <v>3.8</v>
      </c>
      <c r="J9" t="n">
        <v>8</v>
      </c>
      <c r="K9" t="n">
        <v>6</v>
      </c>
      <c r="L9" t="n">
        <v>8</v>
      </c>
      <c r="M9" t="n">
        <v>1</v>
      </c>
      <c r="N9" t="n">
        <v>0</v>
      </c>
      <c r="O9" t="n">
        <v>0</v>
      </c>
      <c r="P9" t="n">
        <v>0</v>
      </c>
      <c r="Q9" t="n">
        <v>9</v>
      </c>
      <c r="R9" t="n">
        <v>1</v>
      </c>
      <c r="S9" t="n">
        <v>20</v>
      </c>
      <c r="T9" t="n">
        <v>64</v>
      </c>
      <c r="U9" t="n">
        <v>64</v>
      </c>
      <c r="V9" s="2" t="inlineStr">
        <is>
          <t>Garnlav
Brunpudrad nållav
Harticka
Rödbrun blekspik
Skrovellav
Talltita
Tretåig hackspett
Ullticka
Vitgrynig nållav
Bårdlav
Finbräken
Mörkhövdad spiklav
Skinnlav
Spindelblomster
Stuplav
Järpe
Spillkråka
Skogsrör
Brudsporre
Revlummer</t>
        </is>
      </c>
      <c r="W9">
        <f>HYPERLINK("https://klasma.github.io/Logging_2421/artfynd/A 3379-2022 artfynd.xlsx", "A 3379-2022")</f>
        <v/>
      </c>
      <c r="X9">
        <f>HYPERLINK("https://klasma.github.io/Logging_2421/kartor/A 3379-2022 karta.png", "A 3379-2022")</f>
        <v/>
      </c>
      <c r="Y9">
        <f>HYPERLINK("https://klasma.github.io/Logging_2421/kartor_geotiff/A 3379-2022 georefererad karta.tif", "A 3379-2022")</f>
        <v/>
      </c>
      <c r="AA9">
        <f>HYPERLINK("https://klasma.github.io/Logging_2421/klagomål/A 3379-2022 FSC-klagomål.docx", "A 3379-2022")</f>
        <v/>
      </c>
      <c r="AB9">
        <f>HYPERLINK("https://klasma.github.io/Logging_2421/klagomålsmail/A 3379-2022 FSC-klagomål mail.docx", "A 3379-2022")</f>
        <v/>
      </c>
      <c r="AC9">
        <f>HYPERLINK("https://klasma.github.io/Logging_2421/tillsyn/A 3379-2022 tillsynsbegäran.docx", "A 3379-2022")</f>
        <v/>
      </c>
      <c r="AD9">
        <f>HYPERLINK("https://klasma.github.io/Logging_2421/tillsynsmail/A 3379-2022 tillsynsbegäran mail.docx", "A 3379-2022")</f>
        <v/>
      </c>
      <c r="AE9">
        <f>HYPERLINK("https://klasma.github.io/Logging_2421/fåglar/A 3379-2022 prioriterade fågelarter.docx", "A 3379-2022")</f>
        <v/>
      </c>
    </row>
    <row r="10" ht="15" customHeight="1">
      <c r="A10" t="inlineStr">
        <is>
          <t>A 22179-2022</t>
        </is>
      </c>
      <c r="B10" t="inlineStr">
        <is>
          <t>avverkningsanmälan</t>
        </is>
      </c>
      <c r="C10" t="inlineStr">
        <is>
          <t>Föryngringsavverkning</t>
        </is>
      </c>
      <c r="D10" s="1" t="n">
        <v>44712</v>
      </c>
      <c r="E10" s="1" t="n">
        <v>46266</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46266</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46266</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46266</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46266</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46266</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46266</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46266</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46266</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46266</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46266</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46266</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46266</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46266</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46266</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46266</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46266</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30075-2026</t>
        </is>
      </c>
      <c r="B27" t="inlineStr">
        <is>
          <t>avverkningsanmälan</t>
        </is>
      </c>
      <c r="C27" t="inlineStr">
        <is>
          <t>Föryngringsavverkning</t>
        </is>
      </c>
      <c r="D27" s="1" t="n">
        <v>46206</v>
      </c>
      <c r="E27" s="1" t="n">
        <v>46266</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46266</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46266</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46266</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46266</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46266</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46266</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46266</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3358-2022</t>
        </is>
      </c>
      <c r="B35" t="inlineStr">
        <is>
          <t>avverkningsanmälan</t>
        </is>
      </c>
      <c r="C35" t="inlineStr">
        <is>
          <t>Föryngringsavverkning</t>
        </is>
      </c>
      <c r="D35" s="1" t="n">
        <v>44585</v>
      </c>
      <c r="E35" s="1" t="n">
        <v>46266</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46266</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33350-2022</t>
        </is>
      </c>
      <c r="B37" t="inlineStr">
        <is>
          <t>avverkningsanmälan</t>
        </is>
      </c>
      <c r="C37" t="inlineStr">
        <is>
          <t>Föryngringsavverkning</t>
        </is>
      </c>
      <c r="D37" s="1" t="n">
        <v>44788</v>
      </c>
      <c r="E37" s="1" t="n">
        <v>46266</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46266</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46266</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46266</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46266</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46266</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46266</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46266</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46266</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46266</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46266</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46266</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51706-2024</t>
        </is>
      </c>
      <c r="B49" t="inlineStr">
        <is>
          <t>avverkningsanmälan</t>
        </is>
      </c>
      <c r="C49" t="inlineStr">
        <is>
          <t>Föryngringsavverkning</t>
        </is>
      </c>
      <c r="D49" s="1" t="n">
        <v>45604</v>
      </c>
      <c r="E49" s="1" t="n">
        <v>46266</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3046-2022</t>
        </is>
      </c>
      <c r="B50" t="inlineStr">
        <is>
          <t>avverkningsanmälan</t>
        </is>
      </c>
      <c r="C50" t="inlineStr">
        <is>
          <t>Föryngringsavverkning</t>
        </is>
      </c>
      <c r="D50" s="1" t="n">
        <v>44581</v>
      </c>
      <c r="E50" s="1" t="n">
        <v>46266</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11190-2025</t>
        </is>
      </c>
      <c r="B51" t="inlineStr">
        <is>
          <t>avverkningsanmälan</t>
        </is>
      </c>
      <c r="C51" t="inlineStr">
        <is>
          <t>Föryngringsavverkning</t>
        </is>
      </c>
      <c r="D51" s="1" t="n">
        <v>45725</v>
      </c>
      <c r="E51" s="1" t="n">
        <v>46266</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46266</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58693-2025</t>
        </is>
      </c>
      <c r="B53" t="inlineStr">
        <is>
          <t>avverkningsanmälan</t>
        </is>
      </c>
      <c r="C53" t="inlineStr">
        <is>
          <t>Föryngringsavverkning</t>
        </is>
      </c>
      <c r="D53" s="1" t="n">
        <v>45986</v>
      </c>
      <c r="E53" s="1" t="n">
        <v>46266</v>
      </c>
      <c r="F53" t="inlineStr">
        <is>
          <t>VÄSTERBOTTENS LÄN</t>
        </is>
      </c>
      <c r="G53" t="inlineStr">
        <is>
          <t>STORUMAN</t>
        </is>
      </c>
      <c r="I53" t="n">
        <v>9.199999999999999</v>
      </c>
      <c r="J53" t="n">
        <v>1</v>
      </c>
      <c r="K53" t="n">
        <v>1</v>
      </c>
      <c r="L53" t="n">
        <v>1</v>
      </c>
      <c r="M53" t="n">
        <v>0</v>
      </c>
      <c r="N53" t="n">
        <v>0</v>
      </c>
      <c r="O53" t="n">
        <v>0</v>
      </c>
      <c r="P53" t="n">
        <v>0</v>
      </c>
      <c r="Q53" t="n">
        <v>1</v>
      </c>
      <c r="R53" t="n">
        <v>0</v>
      </c>
      <c r="S53" t="n">
        <v>2</v>
      </c>
      <c r="T53" t="n">
        <v>3</v>
      </c>
      <c r="U53" t="n">
        <v>0</v>
      </c>
      <c r="V53" s="2" t="inlineStr">
        <is>
          <t>Tretåig hackspett
Vedticka</t>
        </is>
      </c>
      <c r="W53">
        <f>HYPERLINK("https://klasma.github.io/Logging_2421/artfynd/A 58693-2025 artfynd.xlsx", "A 58693-2025")</f>
        <v/>
      </c>
      <c r="X53">
        <f>HYPERLINK("https://klasma.github.io/Logging_2421/kartor/A 58693-2025 karta.png", "A 58693-2025")</f>
        <v/>
      </c>
      <c r="Y53">
        <f>HYPERLINK("https://klasma.github.io/Logging_2421/kartor_geotiff/A 58693-2025 georefererad karta.tif", "A 58693-2025")</f>
        <v/>
      </c>
      <c r="AA53">
        <f>HYPERLINK("https://klasma.github.io/Logging_2421/klagomål/A 58693-2025 FSC-klagomål.docx", "A 58693-2025")</f>
        <v/>
      </c>
      <c r="AB53">
        <f>HYPERLINK("https://klasma.github.io/Logging_2421/klagomålsmail/A 58693-2025 FSC-klagomål mail.docx", "A 58693-2025")</f>
        <v/>
      </c>
      <c r="AC53">
        <f>HYPERLINK("https://klasma.github.io/Logging_2421/tillsyn/A 58693-2025 tillsynsbegäran.docx", "A 58693-2025")</f>
        <v/>
      </c>
      <c r="AD53">
        <f>HYPERLINK("https://klasma.github.io/Logging_2421/tillsynsmail/A 58693-2025 tillsynsbegäran mail.docx", "A 58693-2025")</f>
        <v/>
      </c>
      <c r="AE53">
        <f>HYPERLINK("https://klasma.github.io/Logging_2421/fåglar/A 58693-2025 prioriterade fågelarter.docx", "A 58693-2025")</f>
        <v/>
      </c>
    </row>
    <row r="54" ht="15" customHeight="1">
      <c r="A54" t="inlineStr">
        <is>
          <t>A 61707-2025</t>
        </is>
      </c>
      <c r="B54" t="inlineStr">
        <is>
          <t>avverkningsanmälan</t>
        </is>
      </c>
      <c r="C54" t="inlineStr">
        <is>
          <t>Föryngringsavverkning</t>
        </is>
      </c>
      <c r="D54" s="1" t="n">
        <v>46002</v>
      </c>
      <c r="E54" s="1" t="n">
        <v>46266</v>
      </c>
      <c r="F54" t="inlineStr">
        <is>
          <t>VÄSTERBOTTENS LÄN</t>
        </is>
      </c>
      <c r="G54" t="inlineStr">
        <is>
          <t>STORUMAN</t>
        </is>
      </c>
      <c r="H54" t="inlineStr">
        <is>
          <t>Sveaskog</t>
        </is>
      </c>
      <c r="I54" t="n">
        <v>6.1</v>
      </c>
      <c r="J54" t="n">
        <v>1</v>
      </c>
      <c r="K54" t="n">
        <v>0</v>
      </c>
      <c r="L54" t="n">
        <v>2</v>
      </c>
      <c r="M54" t="n">
        <v>0</v>
      </c>
      <c r="N54" t="n">
        <v>0</v>
      </c>
      <c r="O54" t="n">
        <v>0</v>
      </c>
      <c r="P54" t="n">
        <v>0</v>
      </c>
      <c r="Q54" t="n">
        <v>2</v>
      </c>
      <c r="R54" t="n">
        <v>0</v>
      </c>
      <c r="S54" t="n">
        <v>2</v>
      </c>
      <c r="T54" t="n">
        <v>2</v>
      </c>
      <c r="U54" t="n">
        <v>0</v>
      </c>
      <c r="V54" s="2" t="inlineStr">
        <is>
          <t>Lavskrika
Ullticka</t>
        </is>
      </c>
      <c r="W54">
        <f>HYPERLINK("https://klasma.github.io/Logging_2421/artfynd/A 61707-2025 artfynd.xlsx", "A 61707-2025")</f>
        <v/>
      </c>
      <c r="X54">
        <f>HYPERLINK("https://klasma.github.io/Logging_2421/kartor/A 61707-2025 karta.png", "A 61707-2025")</f>
        <v/>
      </c>
      <c r="Y54">
        <f>HYPERLINK("https://klasma.github.io/Logging_2421/kartor_geotiff/A 61707-2025 georefererad karta.tif", "A 61707-2025")</f>
        <v/>
      </c>
      <c r="AA54">
        <f>HYPERLINK("https://klasma.github.io/Logging_2421/klagomål/A 61707-2025 FSC-klagomål.docx", "A 61707-2025")</f>
        <v/>
      </c>
      <c r="AB54">
        <f>HYPERLINK("https://klasma.github.io/Logging_2421/klagomålsmail/A 61707-2025 FSC-klagomål mail.docx", "A 61707-2025")</f>
        <v/>
      </c>
      <c r="AC54">
        <f>HYPERLINK("https://klasma.github.io/Logging_2421/tillsyn/A 61707-2025 tillsynsbegäran.docx", "A 61707-2025")</f>
        <v/>
      </c>
      <c r="AD54">
        <f>HYPERLINK("https://klasma.github.io/Logging_2421/tillsynsmail/A 61707-2025 tillsynsbegäran mail.docx", "A 61707-2025")</f>
        <v/>
      </c>
      <c r="AE54">
        <f>HYPERLINK("https://klasma.github.io/Logging_2421/fåglar/A 61707-2025 prioriterade fågelarter.docx", "A 61707-2025")</f>
        <v/>
      </c>
    </row>
    <row r="55" ht="15" customHeight="1">
      <c r="A55" t="inlineStr">
        <is>
          <t>A 9944-2026</t>
        </is>
      </c>
      <c r="B55" t="inlineStr">
        <is>
          <t>avverkningsanmälan</t>
        </is>
      </c>
      <c r="C55" t="inlineStr">
        <is>
          <t>Föryngringsavverkning</t>
        </is>
      </c>
      <c r="D55" s="1" t="n">
        <v>46073</v>
      </c>
      <c r="E55" s="1" t="n">
        <v>46266</v>
      </c>
      <c r="F55" t="inlineStr">
        <is>
          <t>VÄSTERBOTTENS LÄN</t>
        </is>
      </c>
      <c r="G55" t="inlineStr">
        <is>
          <t>STORUMAN</t>
        </is>
      </c>
      <c r="H55" t="inlineStr">
        <is>
          <t>SCA</t>
        </is>
      </c>
      <c r="I55" t="n">
        <v>2.6</v>
      </c>
      <c r="J55" t="n">
        <v>1</v>
      </c>
      <c r="K55" t="n">
        <v>0</v>
      </c>
      <c r="L55" t="n">
        <v>1</v>
      </c>
      <c r="M55" t="n">
        <v>1</v>
      </c>
      <c r="N55" t="n">
        <v>0</v>
      </c>
      <c r="O55" t="n">
        <v>0</v>
      </c>
      <c r="P55" t="n">
        <v>0</v>
      </c>
      <c r="Q55" t="n">
        <v>2</v>
      </c>
      <c r="R55" t="n">
        <v>1</v>
      </c>
      <c r="S55" t="n">
        <v>2</v>
      </c>
      <c r="T55" t="n">
        <v>2</v>
      </c>
      <c r="U55" t="n">
        <v>2</v>
      </c>
      <c r="V55" s="2" t="inlineStr">
        <is>
          <t>Goliatmusseron
Lavskrika</t>
        </is>
      </c>
      <c r="W55">
        <f>HYPERLINK("https://klasma.github.io/Logging_2421/artfynd/A 9944-2026 artfynd.xlsx", "A 9944-2026")</f>
        <v/>
      </c>
      <c r="X55">
        <f>HYPERLINK("https://klasma.github.io/Logging_2421/kartor/A 9944-2026 karta.png", "A 9944-2026")</f>
        <v/>
      </c>
      <c r="Y55">
        <f>HYPERLINK("https://klasma.github.io/Logging_2421/kartor_geotiff/A 9944-2026 georefererad karta.tif", "A 9944-2026")</f>
        <v/>
      </c>
      <c r="AA55">
        <f>HYPERLINK("https://klasma.github.io/Logging_2421/klagomål/A 9944-2026 FSC-klagomål.docx", "A 9944-2026")</f>
        <v/>
      </c>
      <c r="AB55">
        <f>HYPERLINK("https://klasma.github.io/Logging_2421/klagomålsmail/A 9944-2026 FSC-klagomål mail.docx", "A 9944-2026")</f>
        <v/>
      </c>
      <c r="AC55">
        <f>HYPERLINK("https://klasma.github.io/Logging_2421/tillsyn/A 9944-2026 tillsynsbegäran.docx", "A 9944-2026")</f>
        <v/>
      </c>
      <c r="AD55">
        <f>HYPERLINK("https://klasma.github.io/Logging_2421/tillsynsmail/A 9944-2026 tillsynsbegäran mail.docx", "A 9944-2026")</f>
        <v/>
      </c>
      <c r="AE55">
        <f>HYPERLINK("https://klasma.github.io/Logging_2421/fåglar/A 9944-2026 prioriterade fågelarter.docx", "A 9944-2026")</f>
        <v/>
      </c>
    </row>
    <row r="56" ht="15" customHeight="1">
      <c r="A56" t="inlineStr">
        <is>
          <t>A 42012-2025</t>
        </is>
      </c>
      <c r="B56" t="inlineStr">
        <is>
          <t>avverkningsanmälan</t>
        </is>
      </c>
      <c r="C56" t="inlineStr">
        <is>
          <t>Föryngringsavverkning</t>
        </is>
      </c>
      <c r="D56" s="1" t="n">
        <v>45903</v>
      </c>
      <c r="E56" s="1" t="n">
        <v>46266</v>
      </c>
      <c r="F56" t="inlineStr">
        <is>
          <t>VÄSTERBOTTENS LÄN</t>
        </is>
      </c>
      <c r="G56" t="inlineStr">
        <is>
          <t>STORUMAN</t>
        </is>
      </c>
      <c r="I56" t="n">
        <v>2.4</v>
      </c>
      <c r="J56" t="n">
        <v>2</v>
      </c>
      <c r="K56" t="n">
        <v>0</v>
      </c>
      <c r="L56" t="n">
        <v>1</v>
      </c>
      <c r="M56" t="n">
        <v>1</v>
      </c>
      <c r="N56" t="n">
        <v>0</v>
      </c>
      <c r="O56" t="n">
        <v>0</v>
      </c>
      <c r="P56" t="n">
        <v>0</v>
      </c>
      <c r="Q56" t="n">
        <v>2</v>
      </c>
      <c r="R56" t="n">
        <v>1</v>
      </c>
      <c r="S56" t="n">
        <v>2</v>
      </c>
      <c r="T56" t="n">
        <v>3</v>
      </c>
      <c r="U56" t="n">
        <v>3</v>
      </c>
      <c r="V56" s="2" t="inlineStr">
        <is>
          <t>Knärot
Tretåig hackspett</t>
        </is>
      </c>
      <c r="W56">
        <f>HYPERLINK("https://klasma.github.io/Logging_2421/artfynd/A 42012-2025 artfynd.xlsx", "A 42012-2025")</f>
        <v/>
      </c>
      <c r="X56">
        <f>HYPERLINK("https://klasma.github.io/Logging_2421/kartor/A 42012-2025 karta.png", "A 42012-2025")</f>
        <v/>
      </c>
      <c r="Y56">
        <f>HYPERLINK("https://klasma.github.io/Logging_2421/kartor_geotiff/A 42012-2025 georefererad karta.tif", "A 42012-2025")</f>
        <v/>
      </c>
      <c r="Z56">
        <f>HYPERLINK("https://klasma.github.io/Logging_2421/knärot/A 42012-2025 karta knärot.png", "A 42012-2025")</f>
        <v/>
      </c>
      <c r="AA56">
        <f>HYPERLINK("https://klasma.github.io/Logging_2421/klagomål/A 42012-2025 FSC-klagomål.docx", "A 42012-2025")</f>
        <v/>
      </c>
      <c r="AB56">
        <f>HYPERLINK("https://klasma.github.io/Logging_2421/klagomålsmail/A 42012-2025 FSC-klagomål mail.docx", "A 42012-2025")</f>
        <v/>
      </c>
      <c r="AC56">
        <f>HYPERLINK("https://klasma.github.io/Logging_2421/tillsyn/A 42012-2025 tillsynsbegäran.docx", "A 42012-2025")</f>
        <v/>
      </c>
      <c r="AD56">
        <f>HYPERLINK("https://klasma.github.io/Logging_2421/tillsynsmail/A 42012-2025 tillsynsbegäran mail.docx", "A 42012-2025")</f>
        <v/>
      </c>
      <c r="AE56">
        <f>HYPERLINK("https://klasma.github.io/Logging_2421/fåglar/A 42012-2025 prioriterade fågelarter.docx", "A 42012-2025")</f>
        <v/>
      </c>
    </row>
    <row r="57" ht="15" customHeight="1">
      <c r="A57" t="inlineStr">
        <is>
          <t>A 20434-2022</t>
        </is>
      </c>
      <c r="B57" t="inlineStr">
        <is>
          <t>avverkningsanmälan</t>
        </is>
      </c>
      <c r="C57" t="inlineStr">
        <is>
          <t>Föryngringsavverkning</t>
        </is>
      </c>
      <c r="D57" s="1" t="n">
        <v>44699</v>
      </c>
      <c r="E57" s="1" t="n">
        <v>46266</v>
      </c>
      <c r="F57" t="inlineStr">
        <is>
          <t>VÄSTERBOTTENS LÄN</t>
        </is>
      </c>
      <c r="G57" t="inlineStr">
        <is>
          <t>STORUMAN</t>
        </is>
      </c>
      <c r="I57" t="n">
        <v>3.4</v>
      </c>
      <c r="J57" t="n">
        <v>2</v>
      </c>
      <c r="K57" t="n">
        <v>0</v>
      </c>
      <c r="L57" t="n">
        <v>0</v>
      </c>
      <c r="M57" t="n">
        <v>1</v>
      </c>
      <c r="N57" t="n">
        <v>0</v>
      </c>
      <c r="O57" t="n">
        <v>0</v>
      </c>
      <c r="P57" t="n">
        <v>0</v>
      </c>
      <c r="Q57" t="n">
        <v>1</v>
      </c>
      <c r="R57" t="n">
        <v>1</v>
      </c>
      <c r="S57" t="n">
        <v>2</v>
      </c>
      <c r="T57" t="n">
        <v>7</v>
      </c>
      <c r="U57" t="n">
        <v>7</v>
      </c>
      <c r="V57" s="2" t="inlineStr">
        <is>
          <t>Knärot
Spillkråka</t>
        </is>
      </c>
      <c r="W57">
        <f>HYPERLINK("https://klasma.github.io/Logging_2421/artfynd/A 20434-2022 artfynd.xlsx", "A 20434-2022")</f>
        <v/>
      </c>
      <c r="X57">
        <f>HYPERLINK("https://klasma.github.io/Logging_2421/kartor/A 20434-2022 karta.png", "A 20434-2022")</f>
        <v/>
      </c>
      <c r="Y57">
        <f>HYPERLINK("https://klasma.github.io/Logging_2421/kartor_geotiff/A 20434-2022 georefererad karta.tif", "A 20434-2022")</f>
        <v/>
      </c>
      <c r="Z57">
        <f>HYPERLINK("https://klasma.github.io/Logging_2421/knärot/A 20434-2022 karta knärot.png", "A 20434-2022")</f>
        <v/>
      </c>
      <c r="AA57">
        <f>HYPERLINK("https://klasma.github.io/Logging_2421/klagomål/A 20434-2022 FSC-klagomål.docx", "A 20434-2022")</f>
        <v/>
      </c>
      <c r="AB57">
        <f>HYPERLINK("https://klasma.github.io/Logging_2421/klagomålsmail/A 20434-2022 FSC-klagomål mail.docx", "A 20434-2022")</f>
        <v/>
      </c>
      <c r="AC57">
        <f>HYPERLINK("https://klasma.github.io/Logging_2421/tillsyn/A 20434-2022 tillsynsbegäran.docx", "A 20434-2022")</f>
        <v/>
      </c>
      <c r="AD57">
        <f>HYPERLINK("https://klasma.github.io/Logging_2421/tillsynsmail/A 20434-2022 tillsynsbegäran mail.docx", "A 20434-2022")</f>
        <v/>
      </c>
      <c r="AE57">
        <f>HYPERLINK("https://klasma.github.io/Logging_2421/fåglar/A 20434-2022 prioriterade fågelarter.docx", "A 20434-2022")</f>
        <v/>
      </c>
    </row>
    <row r="58" ht="15" customHeight="1">
      <c r="A58" t="inlineStr">
        <is>
          <t>A 47313-2023</t>
        </is>
      </c>
      <c r="B58" t="inlineStr">
        <is>
          <t>avverkningsanmälan</t>
        </is>
      </c>
      <c r="C58" t="inlineStr">
        <is>
          <t>Föryngringsavverkning</t>
        </is>
      </c>
      <c r="D58" s="1" t="n">
        <v>45196</v>
      </c>
      <c r="E58" s="1" t="n">
        <v>46266</v>
      </c>
      <c r="F58" t="inlineStr">
        <is>
          <t>VÄSTERBOTTENS LÄN</t>
        </is>
      </c>
      <c r="G58" t="inlineStr">
        <is>
          <t>STORUMAN</t>
        </is>
      </c>
      <c r="H58" t="inlineStr">
        <is>
          <t>Övriga statliga verk och myndigheter</t>
        </is>
      </c>
      <c r="I58" t="n">
        <v>33</v>
      </c>
      <c r="J58" t="n">
        <v>2</v>
      </c>
      <c r="K58" t="n">
        <v>2</v>
      </c>
      <c r="L58" t="n">
        <v>0</v>
      </c>
      <c r="M58" t="n">
        <v>0</v>
      </c>
      <c r="N58" t="n">
        <v>0</v>
      </c>
      <c r="O58" t="n">
        <v>0</v>
      </c>
      <c r="P58" t="n">
        <v>0</v>
      </c>
      <c r="Q58" t="n">
        <v>0</v>
      </c>
      <c r="R58" t="n">
        <v>0</v>
      </c>
      <c r="S58" t="n">
        <v>2</v>
      </c>
      <c r="T58" t="n">
        <v>2</v>
      </c>
      <c r="U58" t="n">
        <v>0</v>
      </c>
      <c r="V58" s="2" t="inlineStr">
        <is>
          <t>Grönkulla
Spindelblomster</t>
        </is>
      </c>
      <c r="W58">
        <f>HYPERLINK("https://klasma.github.io/Logging_2421/artfynd/A 47313-2023 artfynd.xlsx", "A 47313-2023")</f>
        <v/>
      </c>
      <c r="X58">
        <f>HYPERLINK("https://klasma.github.io/Logging_2421/kartor/A 47313-2023 karta.png", "A 47313-2023")</f>
        <v/>
      </c>
      <c r="Y58">
        <f>HYPERLINK("https://klasma.github.io/Logging_2421/kartor_geotiff/A 47313-2023 georefererad karta.tif", "A 47313-2023")</f>
        <v/>
      </c>
      <c r="AA58">
        <f>HYPERLINK("https://klasma.github.io/Logging_2421/klagomål/A 47313-2023 FSC-klagomål.docx", "A 47313-2023")</f>
        <v/>
      </c>
      <c r="AB58">
        <f>HYPERLINK("https://klasma.github.io/Logging_2421/klagomålsmail/A 47313-2023 FSC-klagomål mail.docx", "A 47313-2023")</f>
        <v/>
      </c>
      <c r="AC58">
        <f>HYPERLINK("https://klasma.github.io/Logging_2421/tillsyn/A 47313-2023 tillsynsbegäran.docx", "A 47313-2023")</f>
        <v/>
      </c>
      <c r="AD58">
        <f>HYPERLINK("https://klasma.github.io/Logging_2421/tillsynsmail/A 47313-2023 tillsynsbegäran mail.docx", "A 47313-2023")</f>
        <v/>
      </c>
    </row>
    <row r="59" ht="15" customHeight="1">
      <c r="A59" t="inlineStr">
        <is>
          <t>A 21663-2024</t>
        </is>
      </c>
      <c r="B59" t="inlineStr">
        <is>
          <t>avverkningsanmälan</t>
        </is>
      </c>
      <c r="C59" t="inlineStr">
        <is>
          <t>Föryngringsavverkning</t>
        </is>
      </c>
      <c r="D59" s="1" t="n">
        <v>45442</v>
      </c>
      <c r="E59" s="1" t="n">
        <v>46266</v>
      </c>
      <c r="F59" t="inlineStr">
        <is>
          <t>VÄSTERBOTTENS LÄN</t>
        </is>
      </c>
      <c r="G59" t="inlineStr">
        <is>
          <t>STORUMAN</t>
        </is>
      </c>
      <c r="H59" t="inlineStr">
        <is>
          <t>Holmen skog AB</t>
        </is>
      </c>
      <c r="I59" t="n">
        <v>4.7</v>
      </c>
      <c r="J59" t="n">
        <v>2</v>
      </c>
      <c r="K59" t="n">
        <v>0</v>
      </c>
      <c r="L59" t="n">
        <v>1</v>
      </c>
      <c r="M59" t="n">
        <v>1</v>
      </c>
      <c r="N59" t="n">
        <v>0</v>
      </c>
      <c r="O59" t="n">
        <v>0</v>
      </c>
      <c r="P59" t="n">
        <v>0</v>
      </c>
      <c r="Q59" t="n">
        <v>2</v>
      </c>
      <c r="R59" t="n">
        <v>1</v>
      </c>
      <c r="S59" t="n">
        <v>2</v>
      </c>
      <c r="T59" t="n">
        <v>12</v>
      </c>
      <c r="U59" t="n">
        <v>12</v>
      </c>
      <c r="V59" s="2" t="inlineStr">
        <is>
          <t>Knärot
Tretåig hackspett</t>
        </is>
      </c>
      <c r="W59">
        <f>HYPERLINK("https://klasma.github.io/Logging_2421/artfynd/A 21663-2024 artfynd.xlsx", "A 21663-2024")</f>
        <v/>
      </c>
      <c r="X59">
        <f>HYPERLINK("https://klasma.github.io/Logging_2421/kartor/A 21663-2024 karta.png", "A 21663-2024")</f>
        <v/>
      </c>
      <c r="Y59">
        <f>HYPERLINK("https://klasma.github.io/Logging_2421/kartor_geotiff/A 21663-2024 georefererad karta.tif", "A 21663-2024")</f>
        <v/>
      </c>
      <c r="Z59">
        <f>HYPERLINK("https://klasma.github.io/Logging_2421/knärot/A 21663-2024 karta knärot.png", "A 21663-2024")</f>
        <v/>
      </c>
      <c r="AA59">
        <f>HYPERLINK("https://klasma.github.io/Logging_2421/klagomål/A 21663-2024 FSC-klagomål.docx", "A 21663-2024")</f>
        <v/>
      </c>
      <c r="AB59">
        <f>HYPERLINK("https://klasma.github.io/Logging_2421/klagomålsmail/A 21663-2024 FSC-klagomål mail.docx", "A 21663-2024")</f>
        <v/>
      </c>
      <c r="AC59">
        <f>HYPERLINK("https://klasma.github.io/Logging_2421/tillsyn/A 21663-2024 tillsynsbegäran.docx", "A 21663-2024")</f>
        <v/>
      </c>
      <c r="AD59">
        <f>HYPERLINK("https://klasma.github.io/Logging_2421/tillsynsmail/A 21663-2024 tillsynsbegäran mail.docx", "A 21663-2024")</f>
        <v/>
      </c>
      <c r="AE59">
        <f>HYPERLINK("https://klasma.github.io/Logging_2421/fåglar/A 21663-2024 prioriterade fågelarter.docx", "A 21663-2024")</f>
        <v/>
      </c>
    </row>
    <row r="60" ht="15" customHeight="1">
      <c r="A60" t="inlineStr">
        <is>
          <t>A 29572-2023</t>
        </is>
      </c>
      <c r="B60" t="inlineStr">
        <is>
          <t>avverkningsanmälan</t>
        </is>
      </c>
      <c r="C60" t="inlineStr">
        <is>
          <t>Föryngringsavverkning</t>
        </is>
      </c>
      <c r="D60" s="1" t="n">
        <v>45106</v>
      </c>
      <c r="E60" s="1" t="n">
        <v>46266</v>
      </c>
      <c r="F60" t="inlineStr">
        <is>
          <t>VÄSTERBOTTENS LÄN</t>
        </is>
      </c>
      <c r="G60" t="inlineStr">
        <is>
          <t>STORUMAN</t>
        </is>
      </c>
      <c r="H60" t="inlineStr">
        <is>
          <t>Sveaskog</t>
        </is>
      </c>
      <c r="I60" t="n">
        <v>5.3</v>
      </c>
      <c r="J60" t="n">
        <v>1</v>
      </c>
      <c r="K60" t="n">
        <v>1</v>
      </c>
      <c r="L60" t="n">
        <v>0</v>
      </c>
      <c r="M60" t="n">
        <v>1</v>
      </c>
      <c r="N60" t="n">
        <v>0</v>
      </c>
      <c r="O60" t="n">
        <v>0</v>
      </c>
      <c r="P60" t="n">
        <v>0</v>
      </c>
      <c r="Q60" t="n">
        <v>1</v>
      </c>
      <c r="R60" t="n">
        <v>1</v>
      </c>
      <c r="S60" t="n">
        <v>2</v>
      </c>
      <c r="T60" t="n">
        <v>2</v>
      </c>
      <c r="U60" t="n">
        <v>1</v>
      </c>
      <c r="V60" s="2" t="inlineStr">
        <is>
          <t>Skrovlig taggsvamp
Spindelblomster</t>
        </is>
      </c>
      <c r="W60">
        <f>HYPERLINK("https://klasma.github.io/Logging_2421/artfynd/A 29572-2023 artfynd.xlsx", "A 29572-2023")</f>
        <v/>
      </c>
      <c r="X60">
        <f>HYPERLINK("https://klasma.github.io/Logging_2421/kartor/A 29572-2023 karta.png", "A 29572-2023")</f>
        <v/>
      </c>
      <c r="Y60">
        <f>HYPERLINK("https://klasma.github.io/Logging_2421/kartor_geotiff/A 29572-2023 georefererad karta.tif", "A 29572-2023")</f>
        <v/>
      </c>
      <c r="AA60">
        <f>HYPERLINK("https://klasma.github.io/Logging_2421/klagomål/A 29572-2023 FSC-klagomål.docx", "A 29572-2023")</f>
        <v/>
      </c>
      <c r="AB60">
        <f>HYPERLINK("https://klasma.github.io/Logging_2421/klagomålsmail/A 29572-2023 FSC-klagomål mail.docx", "A 29572-2023")</f>
        <v/>
      </c>
      <c r="AC60">
        <f>HYPERLINK("https://klasma.github.io/Logging_2421/tillsyn/A 29572-2023 tillsynsbegäran.docx", "A 29572-2023")</f>
        <v/>
      </c>
      <c r="AD60">
        <f>HYPERLINK("https://klasma.github.io/Logging_2421/tillsynsmail/A 29572-2023 tillsynsbegäran mail.docx", "A 29572-2023")</f>
        <v/>
      </c>
    </row>
    <row r="61" ht="15" customHeight="1">
      <c r="A61" t="inlineStr">
        <is>
          <t>A 40520-2025</t>
        </is>
      </c>
      <c r="B61" t="inlineStr">
        <is>
          <t>avverkningsanmälan</t>
        </is>
      </c>
      <c r="C61" t="inlineStr">
        <is>
          <t>Föryngringsavverkning</t>
        </is>
      </c>
      <c r="D61" s="1" t="n">
        <v>45896</v>
      </c>
      <c r="E61" s="1" t="n">
        <v>46266</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46266</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33731-2024</t>
        </is>
      </c>
      <c r="B63" t="inlineStr">
        <is>
          <t>avverkningsanmälan</t>
        </is>
      </c>
      <c r="C63" t="inlineStr">
        <is>
          <t>Föryngringsavverkning</t>
        </is>
      </c>
      <c r="D63" s="1" t="n">
        <v>45520</v>
      </c>
      <c r="E63" s="1" t="n">
        <v>46266</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t="n">
        <v>0</v>
      </c>
      <c r="V63" s="2" t="inlineStr">
        <is>
          <t>Lavskrika
Ullticka</t>
        </is>
      </c>
      <c r="W63">
        <f>HYPERLINK("https://klasma.github.io/Logging_2421/artfynd/A 33731-2024 artfynd.xlsx", "A 33731-2024")</f>
        <v/>
      </c>
      <c r="X63">
        <f>HYPERLINK("https://klasma.github.io/Logging_2421/kartor/A 33731-2024 karta.png", "A 33731-2024")</f>
        <v/>
      </c>
      <c r="Y63">
        <f>HYPERLINK("https://klasma.github.io/Logging_2421/kartor_geotiff/A 33731-2024 georefererad karta.tif", "A 33731-2024")</f>
        <v/>
      </c>
      <c r="AA63">
        <f>HYPERLINK("https://klasma.github.io/Logging_2421/klagomål/A 33731-2024 FSC-klagomål.docx", "A 33731-2024")</f>
        <v/>
      </c>
      <c r="AB63">
        <f>HYPERLINK("https://klasma.github.io/Logging_2421/klagomålsmail/A 33731-2024 FSC-klagomål mail.docx", "A 33731-2024")</f>
        <v/>
      </c>
      <c r="AC63">
        <f>HYPERLINK("https://klasma.github.io/Logging_2421/tillsyn/A 33731-2024 tillsynsbegäran.docx", "A 33731-2024")</f>
        <v/>
      </c>
      <c r="AD63">
        <f>HYPERLINK("https://klasma.github.io/Logging_2421/tillsynsmail/A 33731-2024 tillsynsbegäran mail.docx", "A 33731-2024")</f>
        <v/>
      </c>
      <c r="AE63">
        <f>HYPERLINK("https://klasma.github.io/Logging_2421/fåglar/A 33731-2024 prioriterade fågelarter.docx", "A 33731-2024")</f>
        <v/>
      </c>
    </row>
    <row r="64" ht="15" customHeight="1">
      <c r="A64" t="inlineStr">
        <is>
          <t>A 39260-2022</t>
        </is>
      </c>
      <c r="B64" t="inlineStr">
        <is>
          <t>avverkningsanmälan</t>
        </is>
      </c>
      <c r="C64" t="inlineStr">
        <is>
          <t>Föryngringsavverkning</t>
        </is>
      </c>
      <c r="D64" s="1" t="n">
        <v>44817</v>
      </c>
      <c r="E64" s="1" t="n">
        <v>46266</v>
      </c>
      <c r="F64" t="inlineStr">
        <is>
          <t>VÄSTERBOTTENS LÄN</t>
        </is>
      </c>
      <c r="G64" t="inlineStr">
        <is>
          <t>STORUMAN</t>
        </is>
      </c>
      <c r="H64" t="inlineStr">
        <is>
          <t>Sveaskog</t>
        </is>
      </c>
      <c r="I64" t="n">
        <v>1.2</v>
      </c>
      <c r="J64" t="n">
        <v>1</v>
      </c>
      <c r="K64" t="n">
        <v>0</v>
      </c>
      <c r="L64" t="n">
        <v>2</v>
      </c>
      <c r="M64" t="n">
        <v>0</v>
      </c>
      <c r="N64" t="n">
        <v>0</v>
      </c>
      <c r="O64" t="n">
        <v>0</v>
      </c>
      <c r="P64" t="n">
        <v>0</v>
      </c>
      <c r="Q64" t="n">
        <v>2</v>
      </c>
      <c r="R64" t="n">
        <v>0</v>
      </c>
      <c r="S64" t="n">
        <v>2</v>
      </c>
      <c r="T64" t="n">
        <v>2</v>
      </c>
      <c r="U64" t="n">
        <v>2</v>
      </c>
      <c r="V64" s="2" t="inlineStr">
        <is>
          <t>Dvärgbägarlav
Tretåig hackspett</t>
        </is>
      </c>
      <c r="W64">
        <f>HYPERLINK("https://klasma.github.io/Logging_2421/artfynd/A 39260-2022 artfynd.xlsx", "A 39260-2022")</f>
        <v/>
      </c>
      <c r="X64">
        <f>HYPERLINK("https://klasma.github.io/Logging_2421/kartor/A 39260-2022 karta.png", "A 39260-2022")</f>
        <v/>
      </c>
      <c r="Y64">
        <f>HYPERLINK("https://klasma.github.io/Logging_2421/kartor_geotiff/A 39260-2022 georefererad karta.tif", "A 39260-2022")</f>
        <v/>
      </c>
      <c r="AA64">
        <f>HYPERLINK("https://klasma.github.io/Logging_2421/klagomål/A 39260-2022 FSC-klagomål.docx", "A 39260-2022")</f>
        <v/>
      </c>
      <c r="AB64">
        <f>HYPERLINK("https://klasma.github.io/Logging_2421/klagomålsmail/A 39260-2022 FSC-klagomål mail.docx", "A 39260-2022")</f>
        <v/>
      </c>
      <c r="AC64">
        <f>HYPERLINK("https://klasma.github.io/Logging_2421/tillsyn/A 39260-2022 tillsynsbegäran.docx", "A 39260-2022")</f>
        <v/>
      </c>
      <c r="AD64">
        <f>HYPERLINK("https://klasma.github.io/Logging_2421/tillsynsmail/A 39260-2022 tillsynsbegäran mail.docx", "A 39260-2022")</f>
        <v/>
      </c>
      <c r="AE64">
        <f>HYPERLINK("https://klasma.github.io/Logging_2421/fåglar/A 39260-2022 prioriterade fågelarter.docx", "A 39260-2022")</f>
        <v/>
      </c>
    </row>
    <row r="65" ht="15" customHeight="1">
      <c r="A65" t="inlineStr">
        <is>
          <t>A 62142-2025</t>
        </is>
      </c>
      <c r="B65" t="inlineStr">
        <is>
          <t>avverkningsanmälan</t>
        </is>
      </c>
      <c r="C65" t="inlineStr">
        <is>
          <t>Föryngringsavverkning</t>
        </is>
      </c>
      <c r="D65" s="1" t="n">
        <v>46006</v>
      </c>
      <c r="E65" s="1" t="n">
        <v>46266</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20192-2022</t>
        </is>
      </c>
      <c r="B66" t="inlineStr">
        <is>
          <t>avverkningsanmälan</t>
        </is>
      </c>
      <c r="C66" t="inlineStr">
        <is>
          <t>Föryngringsavverkning</t>
        </is>
      </c>
      <c r="D66" s="1" t="n">
        <v>44698</v>
      </c>
      <c r="E66" s="1" t="n">
        <v>46266</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46266</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19153-2023</t>
        </is>
      </c>
      <c r="B68" t="inlineStr">
        <is>
          <t>avverkningsanmälan</t>
        </is>
      </c>
      <c r="C68" t="inlineStr">
        <is>
          <t>Föryngringsavverkning</t>
        </is>
      </c>
      <c r="D68" s="1" t="n">
        <v>45044</v>
      </c>
      <c r="E68" s="1" t="n">
        <v>46266</v>
      </c>
      <c r="F68" t="inlineStr">
        <is>
          <t>VÄSTERBOTTENS LÄN</t>
        </is>
      </c>
      <c r="G68" t="inlineStr">
        <is>
          <t>STORUMAN</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HYPERLINK("https://klasma.github.io/Logging_2421/artfynd/A 19153-2023 artfynd.xlsx", "A 19153-2023")</f>
        <v/>
      </c>
      <c r="X68">
        <f>HYPERLINK("https://klasma.github.io/Logging_2421/kartor/A 19153-2023 karta.png", "A 19153-2023")</f>
        <v/>
      </c>
      <c r="Y68">
        <f>HYPERLINK("https://klasma.github.io/Logging_2421/kartor_geotiff/A 19153-2023 georefererad karta.tif", "A 19153-2023")</f>
        <v/>
      </c>
      <c r="AA68">
        <f>HYPERLINK("https://klasma.github.io/Logging_2421/klagomål/A 19153-2023 FSC-klagomål.docx", "A 19153-2023")</f>
        <v/>
      </c>
      <c r="AB68">
        <f>HYPERLINK("https://klasma.github.io/Logging_2421/klagomålsmail/A 19153-2023 FSC-klagomål mail.docx", "A 19153-2023")</f>
        <v/>
      </c>
      <c r="AC68">
        <f>HYPERLINK("https://klasma.github.io/Logging_2421/tillsyn/A 19153-2023 tillsynsbegäran.docx", "A 19153-2023")</f>
        <v/>
      </c>
      <c r="AD68">
        <f>HYPERLINK("https://klasma.github.io/Logging_2421/tillsynsmail/A 19153-2023 tillsynsbegäran mail.docx", "A 19153-2023")</f>
        <v/>
      </c>
    </row>
    <row r="69" ht="15" customHeight="1">
      <c r="A69" t="inlineStr">
        <is>
          <t>A 26729-2025</t>
        </is>
      </c>
      <c r="B69" t="inlineStr">
        <is>
          <t>avverkningsanmälan</t>
        </is>
      </c>
      <c r="C69" t="inlineStr">
        <is>
          <t>Föryngringsavverkning</t>
        </is>
      </c>
      <c r="D69" s="1" t="n">
        <v>45810</v>
      </c>
      <c r="E69" s="1" t="n">
        <v>46266</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33882-2025</t>
        </is>
      </c>
      <c r="B70" t="inlineStr">
        <is>
          <t>avverkningsanmälan</t>
        </is>
      </c>
      <c r="C70" t="inlineStr">
        <is>
          <t>Föryngringsavverkning</t>
        </is>
      </c>
      <c r="D70" s="1" t="n">
        <v>45842</v>
      </c>
      <c r="E70" s="1" t="n">
        <v>46266</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34399-2024</t>
        </is>
      </c>
      <c r="B71" t="inlineStr">
        <is>
          <t>avverkningsanmälan</t>
        </is>
      </c>
      <c r="C71" t="inlineStr">
        <is>
          <t>Avverkning för annat ändamål</t>
        </is>
      </c>
      <c r="D71" s="1" t="n">
        <v>45525</v>
      </c>
      <c r="E71" s="1" t="n">
        <v>46266</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59351-2025</t>
        </is>
      </c>
      <c r="B72" t="inlineStr">
        <is>
          <t>avverkningsanmälan</t>
        </is>
      </c>
      <c r="C72" t="inlineStr">
        <is>
          <t>Föryngringsavverkning</t>
        </is>
      </c>
      <c r="D72" s="1" t="n">
        <v>45989</v>
      </c>
      <c r="E72" s="1" t="n">
        <v>46266</v>
      </c>
      <c r="F72" t="inlineStr">
        <is>
          <t>VÄSTERBOTTENS LÄN</t>
        </is>
      </c>
      <c r="G72" t="inlineStr">
        <is>
          <t>STORUMAN</t>
        </is>
      </c>
      <c r="H72" t="inlineStr">
        <is>
          <t>Övriga statliga verk och myndigheter</t>
        </is>
      </c>
      <c r="I72" t="n">
        <v>67.59999999999999</v>
      </c>
      <c r="J72" t="n">
        <v>1</v>
      </c>
      <c r="K72" t="n">
        <v>0</v>
      </c>
      <c r="L72" t="n">
        <v>1</v>
      </c>
      <c r="M72" t="n">
        <v>0</v>
      </c>
      <c r="N72" t="n">
        <v>0</v>
      </c>
      <c r="O72" t="n">
        <v>0</v>
      </c>
      <c r="P72" t="n">
        <v>0</v>
      </c>
      <c r="Q72" t="n">
        <v>1</v>
      </c>
      <c r="R72" t="n">
        <v>0</v>
      </c>
      <c r="S72" t="n">
        <v>1</v>
      </c>
      <c r="T72" t="n">
        <v>1</v>
      </c>
      <c r="U72" t="n">
        <v>0</v>
      </c>
      <c r="V72" s="2" t="inlineStr">
        <is>
          <t>Lavskrika</t>
        </is>
      </c>
      <c r="W72">
        <f>HYPERLINK("https://klasma.github.io/Logging_2421/artfynd/A 59351-2025 artfynd.xlsx", "A 59351-2025")</f>
        <v/>
      </c>
      <c r="X72">
        <f>HYPERLINK("https://klasma.github.io/Logging_2421/kartor/A 59351-2025 karta.png", "A 59351-2025")</f>
        <v/>
      </c>
      <c r="Y72">
        <f>HYPERLINK("https://klasma.github.io/Logging_2421/kartor_geotiff/A 59351-2025 georefererad karta.tif", "A 59351-2025")</f>
        <v/>
      </c>
      <c r="AA72">
        <f>HYPERLINK("https://klasma.github.io/Logging_2421/klagomål/A 59351-2025 FSC-klagomål.docx", "A 59351-2025")</f>
        <v/>
      </c>
      <c r="AB72">
        <f>HYPERLINK("https://klasma.github.io/Logging_2421/klagomålsmail/A 59351-2025 FSC-klagomål mail.docx", "A 59351-2025")</f>
        <v/>
      </c>
      <c r="AC72">
        <f>HYPERLINK("https://klasma.github.io/Logging_2421/tillsyn/A 59351-2025 tillsynsbegäran.docx", "A 59351-2025")</f>
        <v/>
      </c>
      <c r="AD72">
        <f>HYPERLINK("https://klasma.github.io/Logging_2421/tillsynsmail/A 59351-2025 tillsynsbegäran mail.docx", "A 59351-2025")</f>
        <v/>
      </c>
      <c r="AE72">
        <f>HYPERLINK("https://klasma.github.io/Logging_2421/fåglar/A 59351-2025 prioriterade fågelarter.docx", "A 59351-2025")</f>
        <v/>
      </c>
    </row>
    <row r="73" ht="15" customHeight="1">
      <c r="A73" t="inlineStr">
        <is>
          <t>A 45404-2024</t>
        </is>
      </c>
      <c r="B73" t="inlineStr">
        <is>
          <t>avverkningsanmälan</t>
        </is>
      </c>
      <c r="C73" t="inlineStr">
        <is>
          <t>Föryngringsavverkning</t>
        </is>
      </c>
      <c r="D73" s="1" t="n">
        <v>45576</v>
      </c>
      <c r="E73" s="1" t="n">
        <v>46266</v>
      </c>
      <c r="F73" t="inlineStr">
        <is>
          <t>VÄSTERBOTTENS LÄN</t>
        </is>
      </c>
      <c r="G73" t="inlineStr">
        <is>
          <t>STORUMAN</t>
        </is>
      </c>
      <c r="H73" t="inlineStr">
        <is>
          <t>Sveaskog</t>
        </is>
      </c>
      <c r="I73" t="n">
        <v>3.3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45404-2024 artfynd.xlsx", "A 45404-2024")</f>
        <v/>
      </c>
      <c r="X73">
        <f>HYPERLINK("https://klasma.github.io/Logging_2421/kartor/A 45404-2024 karta.png", "A 45404-2024")</f>
        <v/>
      </c>
      <c r="Y73">
        <f>HYPERLINK("https://klasma.github.io/Logging_2421/kartor_geotiff/A 45404-2024 georefererad karta.tif", "A 45404-2024")</f>
        <v/>
      </c>
      <c r="AA73">
        <f>HYPERLINK("https://klasma.github.io/Logging_2421/klagomål/A 45404-2024 FSC-klagomål.docx", "A 45404-2024")</f>
        <v/>
      </c>
      <c r="AB73">
        <f>HYPERLINK("https://klasma.github.io/Logging_2421/klagomålsmail/A 45404-2024 FSC-klagomål mail.docx", "A 45404-2024")</f>
        <v/>
      </c>
      <c r="AC73">
        <f>HYPERLINK("https://klasma.github.io/Logging_2421/tillsyn/A 45404-2024 tillsynsbegäran.docx", "A 45404-2024")</f>
        <v/>
      </c>
      <c r="AD73">
        <f>HYPERLINK("https://klasma.github.io/Logging_2421/tillsynsmail/A 45404-2024 tillsynsbegäran mail.docx", "A 45404-2024")</f>
        <v/>
      </c>
    </row>
    <row r="74" ht="15" customHeight="1">
      <c r="A74" t="inlineStr">
        <is>
          <t>A 59058-2023</t>
        </is>
      </c>
      <c r="B74" t="inlineStr">
        <is>
          <t>avverkningsanmälan</t>
        </is>
      </c>
      <c r="C74" t="inlineStr">
        <is>
          <t>Föryngringsavverkning</t>
        </is>
      </c>
      <c r="D74" s="1" t="n">
        <v>45252</v>
      </c>
      <c r="E74" s="1" t="n">
        <v>46266</v>
      </c>
      <c r="F74" t="inlineStr">
        <is>
          <t>VÄSTERBOTTENS LÄN</t>
        </is>
      </c>
      <c r="G74" t="inlineStr">
        <is>
          <t>STORUMAN</t>
        </is>
      </c>
      <c r="I74" t="n">
        <v>15.3</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HYPERLINK("https://klasma.github.io/Logging_2421/artfynd/A 59058-2023 artfynd.xlsx", "A 59058-2023")</f>
        <v/>
      </c>
      <c r="X74">
        <f>HYPERLINK("https://klasma.github.io/Logging_2421/kartor/A 59058-2023 karta.png", "A 59058-2023")</f>
        <v/>
      </c>
      <c r="Y74">
        <f>HYPERLINK("https://klasma.github.io/Logging_2421/kartor_geotiff/A 59058-2023 georefererad karta.tif", "A 59058-2023")</f>
        <v/>
      </c>
      <c r="AA74">
        <f>HYPERLINK("https://klasma.github.io/Logging_2421/klagomål/A 59058-2023 FSC-klagomål.docx", "A 59058-2023")</f>
        <v/>
      </c>
      <c r="AB74">
        <f>HYPERLINK("https://klasma.github.io/Logging_2421/klagomålsmail/A 59058-2023 FSC-klagomål mail.docx", "A 59058-2023")</f>
        <v/>
      </c>
      <c r="AC74">
        <f>HYPERLINK("https://klasma.github.io/Logging_2421/tillsyn/A 59058-2023 tillsynsbegäran.docx", "A 59058-2023")</f>
        <v/>
      </c>
      <c r="AD74">
        <f>HYPERLINK("https://klasma.github.io/Logging_2421/tillsynsmail/A 59058-2023 tillsynsbegäran mail.docx", "A 59058-2023")</f>
        <v/>
      </c>
    </row>
    <row r="75" ht="15" customHeight="1">
      <c r="A75" t="inlineStr">
        <is>
          <t>A 61846-2022</t>
        </is>
      </c>
      <c r="B75" t="inlineStr">
        <is>
          <t>avverkningsanmälan</t>
        </is>
      </c>
      <c r="C75" t="inlineStr">
        <is>
          <t>Föryngringsavverkning</t>
        </is>
      </c>
      <c r="D75" s="1" t="n">
        <v>44917</v>
      </c>
      <c r="E75" s="1" t="n">
        <v>46266</v>
      </c>
      <c r="F75" t="inlineStr">
        <is>
          <t>VÄSTERBOTTENS LÄN</t>
        </is>
      </c>
      <c r="G75" t="inlineStr">
        <is>
          <t>STORUMAN</t>
        </is>
      </c>
      <c r="H75" t="inlineStr">
        <is>
          <t>Sveaskog</t>
        </is>
      </c>
      <c r="I75" t="n">
        <v>11.2</v>
      </c>
      <c r="J75" t="n">
        <v>1</v>
      </c>
      <c r="K75" t="n">
        <v>0</v>
      </c>
      <c r="L75" t="n">
        <v>0</v>
      </c>
      <c r="M75" t="n">
        <v>0</v>
      </c>
      <c r="N75" t="n">
        <v>0</v>
      </c>
      <c r="O75" t="n">
        <v>0</v>
      </c>
      <c r="P75" t="n">
        <v>0</v>
      </c>
      <c r="Q75" t="n">
        <v>0</v>
      </c>
      <c r="R75" t="n">
        <v>0</v>
      </c>
      <c r="S75" t="n">
        <v>1</v>
      </c>
      <c r="T75" t="n">
        <v>1</v>
      </c>
      <c r="U75" t="n">
        <v>1</v>
      </c>
      <c r="V75" s="2" t="inlineStr">
        <is>
          <t>Orre</t>
        </is>
      </c>
      <c r="W75">
        <f>HYPERLINK("https://klasma.github.io/Logging_2421/artfynd/A 61846-2022 artfynd.xlsx", "A 61846-2022")</f>
        <v/>
      </c>
      <c r="X75">
        <f>HYPERLINK("https://klasma.github.io/Logging_2421/kartor/A 61846-2022 karta.png", "A 61846-2022")</f>
        <v/>
      </c>
      <c r="Y75">
        <f>HYPERLINK("https://klasma.github.io/Logging_2421/kartor_geotiff/A 61846-2022 georefererad karta.tif", "A 61846-2022")</f>
        <v/>
      </c>
      <c r="AA75">
        <f>HYPERLINK("https://klasma.github.io/Logging_2421/klagomål/A 61846-2022 FSC-klagomål.docx", "A 61846-2022")</f>
        <v/>
      </c>
      <c r="AB75">
        <f>HYPERLINK("https://klasma.github.io/Logging_2421/klagomålsmail/A 61846-2022 FSC-klagomål mail.docx", "A 61846-2022")</f>
        <v/>
      </c>
      <c r="AC75">
        <f>HYPERLINK("https://klasma.github.io/Logging_2421/tillsyn/A 61846-2022 tillsynsbegäran.docx", "A 61846-2022")</f>
        <v/>
      </c>
      <c r="AD75">
        <f>HYPERLINK("https://klasma.github.io/Logging_2421/tillsynsmail/A 61846-2022 tillsynsbegäran mail.docx", "A 61846-2022")</f>
        <v/>
      </c>
      <c r="AE75">
        <f>HYPERLINK("https://klasma.github.io/Logging_2421/fåglar/A 61846-2022 prioriterade fågelarter.docx", "A 61846-2022")</f>
        <v/>
      </c>
    </row>
    <row r="76" ht="15" customHeight="1">
      <c r="A76" t="inlineStr">
        <is>
          <t>A 13142-2026</t>
        </is>
      </c>
      <c r="B76" t="inlineStr">
        <is>
          <t>avverkningsanmälan</t>
        </is>
      </c>
      <c r="C76" t="inlineStr">
        <is>
          <t>Föryngringsavverkning</t>
        </is>
      </c>
      <c r="D76" s="1" t="n">
        <v>46093</v>
      </c>
      <c r="E76" s="1" t="n">
        <v>46266</v>
      </c>
      <c r="F76" t="inlineStr">
        <is>
          <t>VÄSTERBOTTENS LÄN</t>
        </is>
      </c>
      <c r="G76" t="inlineStr">
        <is>
          <t>STORUMAN</t>
        </is>
      </c>
      <c r="H76" t="inlineStr">
        <is>
          <t>SCA</t>
        </is>
      </c>
      <c r="I76" t="n">
        <v>19.6</v>
      </c>
      <c r="J76" t="n">
        <v>1</v>
      </c>
      <c r="K76" t="n">
        <v>0</v>
      </c>
      <c r="L76" t="n">
        <v>0</v>
      </c>
      <c r="M76" t="n">
        <v>1</v>
      </c>
      <c r="N76" t="n">
        <v>0</v>
      </c>
      <c r="O76" t="n">
        <v>0</v>
      </c>
      <c r="P76" t="n">
        <v>0</v>
      </c>
      <c r="Q76" t="n">
        <v>1</v>
      </c>
      <c r="R76" t="n">
        <v>1</v>
      </c>
      <c r="S76" t="n">
        <v>1</v>
      </c>
      <c r="T76" t="n">
        <v>3</v>
      </c>
      <c r="U76" t="n">
        <v>3</v>
      </c>
      <c r="V76" s="2" t="inlineStr">
        <is>
          <t>Tajgablåstjärt</t>
        </is>
      </c>
      <c r="W76">
        <f>HYPERLINK("https://klasma.github.io/Logging_2421/artfynd/A 13142-2026 artfynd.xlsx", "A 13142-2026")</f>
        <v/>
      </c>
      <c r="X76">
        <f>HYPERLINK("https://klasma.github.io/Logging_2421/kartor/A 13142-2026 karta.png", "A 13142-2026")</f>
        <v/>
      </c>
      <c r="Y76">
        <f>HYPERLINK("https://klasma.github.io/Logging_2421/kartor_geotiff/A 13142-2026 georefererad karta.tif", "A 13142-2026")</f>
        <v/>
      </c>
      <c r="AA76">
        <f>HYPERLINK("https://klasma.github.io/Logging_2421/klagomål/A 13142-2026 FSC-klagomål.docx", "A 13142-2026")</f>
        <v/>
      </c>
      <c r="AB76">
        <f>HYPERLINK("https://klasma.github.io/Logging_2421/klagomålsmail/A 13142-2026 FSC-klagomål mail.docx", "A 13142-2026")</f>
        <v/>
      </c>
      <c r="AC76">
        <f>HYPERLINK("https://klasma.github.io/Logging_2421/tillsyn/A 13142-2026 tillsynsbegäran.docx", "A 13142-2026")</f>
        <v/>
      </c>
      <c r="AD76">
        <f>HYPERLINK("https://klasma.github.io/Logging_2421/tillsynsmail/A 13142-2026 tillsynsbegäran mail.docx", "A 13142-2026")</f>
        <v/>
      </c>
      <c r="AE76">
        <f>HYPERLINK("https://klasma.github.io/Logging_2421/fåglar/A 13142-2026 prioriterade fågelarter.docx", "A 13142-2026")</f>
        <v/>
      </c>
    </row>
    <row r="77" ht="15" customHeight="1">
      <c r="A77" t="inlineStr">
        <is>
          <t>A 25111-2023</t>
        </is>
      </c>
      <c r="B77" t="inlineStr">
        <is>
          <t>avverkningsanmälan</t>
        </is>
      </c>
      <c r="C77" t="inlineStr">
        <is>
          <t>Föryngringsavverkning</t>
        </is>
      </c>
      <c r="D77" s="1" t="n">
        <v>45078</v>
      </c>
      <c r="E77" s="1" t="n">
        <v>46266</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52680-2023</t>
        </is>
      </c>
      <c r="B78" t="inlineStr">
        <is>
          <t>avverkningsanmälan</t>
        </is>
      </c>
      <c r="C78" t="inlineStr">
        <is>
          <t>Föryngringsavverkning</t>
        </is>
      </c>
      <c r="D78" s="1" t="n">
        <v>45219</v>
      </c>
      <c r="E78" s="1" t="n">
        <v>46266</v>
      </c>
      <c r="F78" t="inlineStr">
        <is>
          <t>VÄSTERBOTTENS LÄN</t>
        </is>
      </c>
      <c r="G78" t="inlineStr">
        <is>
          <t>STORUMAN</t>
        </is>
      </c>
      <c r="I78" t="n">
        <v>31.8</v>
      </c>
      <c r="J78" t="n">
        <v>0</v>
      </c>
      <c r="K78" t="n">
        <v>0</v>
      </c>
      <c r="L78" t="n">
        <v>0</v>
      </c>
      <c r="M78" t="n">
        <v>1</v>
      </c>
      <c r="N78" t="n">
        <v>0</v>
      </c>
      <c r="O78" t="n">
        <v>0</v>
      </c>
      <c r="P78" t="n">
        <v>0</v>
      </c>
      <c r="Q78" t="n">
        <v>1</v>
      </c>
      <c r="R78" t="n">
        <v>1</v>
      </c>
      <c r="S78" t="n">
        <v>1</v>
      </c>
      <c r="T78" t="n">
        <v>1</v>
      </c>
      <c r="U78" t="n">
        <v>0</v>
      </c>
      <c r="V78" s="2" t="inlineStr">
        <is>
          <t>Gränsticka</t>
        </is>
      </c>
      <c r="W78">
        <f>HYPERLINK("https://klasma.github.io/Logging_2421/artfynd/A 52680-2023 artfynd.xlsx", "A 52680-2023")</f>
        <v/>
      </c>
      <c r="X78">
        <f>HYPERLINK("https://klasma.github.io/Logging_2421/kartor/A 52680-2023 karta.png", "A 52680-2023")</f>
        <v/>
      </c>
      <c r="Y78">
        <f>HYPERLINK("https://klasma.github.io/Logging_2421/kartor_geotiff/A 52680-2023 georefererad karta.tif", "A 52680-2023")</f>
        <v/>
      </c>
      <c r="AA78">
        <f>HYPERLINK("https://klasma.github.io/Logging_2421/klagomål/A 52680-2023 FSC-klagomål.docx", "A 52680-2023")</f>
        <v/>
      </c>
      <c r="AB78">
        <f>HYPERLINK("https://klasma.github.io/Logging_2421/klagomålsmail/A 52680-2023 FSC-klagomål mail.docx", "A 52680-2023")</f>
        <v/>
      </c>
      <c r="AC78">
        <f>HYPERLINK("https://klasma.github.io/Logging_2421/tillsyn/A 52680-2023 tillsynsbegäran.docx", "A 52680-2023")</f>
        <v/>
      </c>
      <c r="AD78">
        <f>HYPERLINK("https://klasma.github.io/Logging_2421/tillsynsmail/A 52680-2023 tillsynsbegäran mail.docx", "A 52680-2023")</f>
        <v/>
      </c>
    </row>
    <row r="79" ht="15" customHeight="1">
      <c r="A79" t="inlineStr">
        <is>
          <t>A 21665-2026</t>
        </is>
      </c>
      <c r="B79" t="inlineStr">
        <is>
          <t>avverkningsanmälan</t>
        </is>
      </c>
      <c r="C79" t="inlineStr">
        <is>
          <t>Föryngringsavverkning</t>
        </is>
      </c>
      <c r="D79" s="1" t="n">
        <v>46149</v>
      </c>
      <c r="E79" s="1" t="n">
        <v>46266</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HYPERLINK("https://klasma.github.io/Logging_2421/artfynd/A 21665-2026 artfynd.xlsx", "A 21665-2026")</f>
        <v/>
      </c>
      <c r="X79">
        <f>HYPERLINK("https://klasma.github.io/Logging_2421/kartor/A 21665-2026 karta.png", "A 21665-2026")</f>
        <v/>
      </c>
      <c r="Y79">
        <f>HYPERLINK("https://klasma.github.io/Logging_2421/kartor_geotiff/A 21665-2026 georefererad karta.tif", "A 21665-2026")</f>
        <v/>
      </c>
      <c r="Z79">
        <f>HYPERLINK("https://klasma.github.io/Logging_2421/knärot/A 21665-2026 karta knärot.png", "A 21665-2026")</f>
        <v/>
      </c>
      <c r="AA79">
        <f>HYPERLINK("https://klasma.github.io/Logging_2421/klagomål/A 21665-2026 FSC-klagomål.docx", "A 21665-2026")</f>
        <v/>
      </c>
      <c r="AB79">
        <f>HYPERLINK("https://klasma.github.io/Logging_2421/klagomålsmail/A 21665-2026 FSC-klagomål mail.docx", "A 21665-2026")</f>
        <v/>
      </c>
      <c r="AC79">
        <f>HYPERLINK("https://klasma.github.io/Logging_2421/tillsyn/A 21665-2026 tillsynsbegäran.docx", "A 21665-2026")</f>
        <v/>
      </c>
      <c r="AD79">
        <f>HYPERLINK("https://klasma.github.io/Logging_2421/tillsynsmail/A 21665-2026 tillsynsbegäran mail.docx", "A 21665-2026")</f>
        <v/>
      </c>
    </row>
    <row r="80" ht="15" customHeight="1">
      <c r="A80" t="inlineStr">
        <is>
          <t>A 14070-2022</t>
        </is>
      </c>
      <c r="B80" t="inlineStr">
        <is>
          <t>avverkningsanmälan</t>
        </is>
      </c>
      <c r="C80" t="inlineStr">
        <is>
          <t>Föryngringsavverkning</t>
        </is>
      </c>
      <c r="D80" s="1" t="n">
        <v>44650</v>
      </c>
      <c r="E80" s="1" t="n">
        <v>46266</v>
      </c>
      <c r="F80" t="inlineStr">
        <is>
          <t>VÄSTERBOTTENS LÄN</t>
        </is>
      </c>
      <c r="G80" t="inlineStr">
        <is>
          <t>STORUMAN</t>
        </is>
      </c>
      <c r="H80" t="inlineStr">
        <is>
          <t>Övriga statliga verk och myndigheter</t>
        </is>
      </c>
      <c r="I80" t="n">
        <v>14.1</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HYPERLINK("https://klasma.github.io/Logging_2421/artfynd/A 14070-2022 artfynd.xlsx", "A 14070-2022")</f>
        <v/>
      </c>
      <c r="X80">
        <f>HYPERLINK("https://klasma.github.io/Logging_2421/kartor/A 14070-2022 karta.png", "A 14070-2022")</f>
        <v/>
      </c>
      <c r="Y80">
        <f>HYPERLINK("https://klasma.github.io/Logging_2421/kartor_geotiff/A 14070-2022 georefererad karta.tif", "A 14070-2022")</f>
        <v/>
      </c>
      <c r="AA80">
        <f>HYPERLINK("https://klasma.github.io/Logging_2421/klagomål/A 14070-2022 FSC-klagomål.docx", "A 14070-2022")</f>
        <v/>
      </c>
      <c r="AB80">
        <f>HYPERLINK("https://klasma.github.io/Logging_2421/klagomålsmail/A 14070-2022 FSC-klagomål mail.docx", "A 14070-2022")</f>
        <v/>
      </c>
      <c r="AC80">
        <f>HYPERLINK("https://klasma.github.io/Logging_2421/tillsyn/A 14070-2022 tillsynsbegäran.docx", "A 14070-2022")</f>
        <v/>
      </c>
      <c r="AD80">
        <f>HYPERLINK("https://klasma.github.io/Logging_2421/tillsynsmail/A 14070-2022 tillsynsbegäran mail.docx", "A 14070-2022")</f>
        <v/>
      </c>
      <c r="AE80">
        <f>HYPERLINK("https://klasma.github.io/Logging_2421/fåglar/A 14070-2022 prioriterade fågelarter.docx", "A 14070-2022")</f>
        <v/>
      </c>
    </row>
    <row r="81" ht="15" customHeight="1">
      <c r="A81" t="inlineStr">
        <is>
          <t>A 21874-2026</t>
        </is>
      </c>
      <c r="B81" t="inlineStr">
        <is>
          <t>avverkningsanmälan</t>
        </is>
      </c>
      <c r="C81" t="inlineStr">
        <is>
          <t>Föryngringsavverkning</t>
        </is>
      </c>
      <c r="D81" s="1" t="n">
        <v>46150</v>
      </c>
      <c r="E81" s="1" t="n">
        <v>46266</v>
      </c>
      <c r="F81" t="inlineStr">
        <is>
          <t>VÄSTERBOTTENS LÄN</t>
        </is>
      </c>
      <c r="G81" t="inlineStr">
        <is>
          <t>STORUMAN</t>
        </is>
      </c>
      <c r="I81" t="n">
        <v>9.699999999999999</v>
      </c>
      <c r="J81" t="n">
        <v>1</v>
      </c>
      <c r="K81" t="n">
        <v>0</v>
      </c>
      <c r="L81" t="n">
        <v>0</v>
      </c>
      <c r="M81" t="n">
        <v>0</v>
      </c>
      <c r="N81" t="n">
        <v>0</v>
      </c>
      <c r="O81" t="n">
        <v>0</v>
      </c>
      <c r="P81" t="n">
        <v>0</v>
      </c>
      <c r="Q81" t="n">
        <v>0</v>
      </c>
      <c r="R81" t="n">
        <v>0</v>
      </c>
      <c r="S81" t="n">
        <v>1</v>
      </c>
      <c r="T81" t="n">
        <v>1</v>
      </c>
      <c r="U81" t="n">
        <v>0</v>
      </c>
      <c r="V81" s="2" t="inlineStr">
        <is>
          <t>Huggorm</t>
        </is>
      </c>
      <c r="W81">
        <f>HYPERLINK("https://klasma.github.io/Logging_2421/artfynd/A 21874-2026 artfynd.xlsx", "A 21874-2026")</f>
        <v/>
      </c>
      <c r="X81">
        <f>HYPERLINK("https://klasma.github.io/Logging_2421/kartor/A 21874-2026 karta.png", "A 21874-2026")</f>
        <v/>
      </c>
      <c r="Y81">
        <f>HYPERLINK("https://klasma.github.io/Logging_2421/kartor_geotiff/A 21874-2026 georefererad karta.tif", "A 21874-2026")</f>
        <v/>
      </c>
      <c r="AA81">
        <f>HYPERLINK("https://klasma.github.io/Logging_2421/klagomål/A 21874-2026 FSC-klagomål.docx", "A 21874-2026")</f>
        <v/>
      </c>
      <c r="AB81">
        <f>HYPERLINK("https://klasma.github.io/Logging_2421/klagomålsmail/A 21874-2026 FSC-klagomål mail.docx", "A 21874-2026")</f>
        <v/>
      </c>
      <c r="AC81">
        <f>HYPERLINK("https://klasma.github.io/Logging_2421/tillsyn/A 21874-2026 tillsynsbegäran.docx", "A 21874-2026")</f>
        <v/>
      </c>
      <c r="AD81">
        <f>HYPERLINK("https://klasma.github.io/Logging_2421/tillsynsmail/A 21874-2026 tillsynsbegäran mail.docx", "A 21874-2026")</f>
        <v/>
      </c>
    </row>
    <row r="82" ht="15" customHeight="1">
      <c r="A82" t="inlineStr">
        <is>
          <t>A 3826-2023</t>
        </is>
      </c>
      <c r="B82" t="inlineStr">
        <is>
          <t>avverkningsanmälan</t>
        </is>
      </c>
      <c r="C82" t="inlineStr">
        <is>
          <t>Föryngringsavverkning</t>
        </is>
      </c>
      <c r="D82" s="1" t="n">
        <v>44950</v>
      </c>
      <c r="E82" s="1" t="n">
        <v>46266</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46266</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32807-2026</t>
        </is>
      </c>
      <c r="B84" t="inlineStr">
        <is>
          <t>avverkningsanmälan</t>
        </is>
      </c>
      <c r="C84" t="inlineStr">
        <is>
          <t>Föryngringsavverkning</t>
        </is>
      </c>
      <c r="D84" s="1" t="n">
        <v>46241</v>
      </c>
      <c r="E84" s="1" t="n">
        <v>46266</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46266</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S 700-2025</t>
        </is>
      </c>
      <c r="B86" t="inlineStr">
        <is>
          <t>samrådsanmälan</t>
        </is>
      </c>
      <c r="C86" t="inlineStr">
        <is>
          <t>Annan skogsbruksåtgärd</t>
        </is>
      </c>
      <c r="D86" s="1" t="n">
        <v>45720</v>
      </c>
      <c r="E86" s="1" t="n">
        <v>46266</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46266</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46266</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46266</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46266</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46266</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46266</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46266</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46266</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46266</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46266</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46266</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14395-2022</t>
        </is>
      </c>
      <c r="B98" t="inlineStr">
        <is>
          <t>avverkningsanmälan</t>
        </is>
      </c>
      <c r="C98" t="inlineStr">
        <is>
          <t>Avverkning för annat ändamål</t>
        </is>
      </c>
      <c r="D98" s="1" t="n">
        <v>44652</v>
      </c>
      <c r="E98" s="1" t="n">
        <v>46266</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65463-2021</t>
        </is>
      </c>
      <c r="B99" t="inlineStr">
        <is>
          <t>avverkningsanmälan</t>
        </is>
      </c>
      <c r="C99" t="inlineStr">
        <is>
          <t>Föryngringsavverkning</t>
        </is>
      </c>
      <c r="D99" s="1" t="n">
        <v>44515</v>
      </c>
      <c r="E99" s="1" t="n">
        <v>46266</v>
      </c>
      <c r="F99" t="inlineStr">
        <is>
          <t>VÄSTERBOTTENS LÄN</t>
        </is>
      </c>
      <c r="G99" t="inlineStr">
        <is>
          <t>STORUMAN</t>
        </is>
      </c>
      <c r="I99" t="n">
        <v>14.6</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46266</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46266</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46266</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46266</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46266</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46266</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46266</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46266</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46266</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46266</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46266</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46266</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3354-2022</t>
        </is>
      </c>
      <c r="B112" t="inlineStr">
        <is>
          <t>avverkningsanmälan</t>
        </is>
      </c>
      <c r="C112" t="inlineStr">
        <is>
          <t>Föryngringsavverkning</t>
        </is>
      </c>
      <c r="D112" s="1" t="n">
        <v>44585</v>
      </c>
      <c r="E112" s="1" t="n">
        <v>46266</v>
      </c>
      <c r="F112" t="inlineStr">
        <is>
          <t>VÄSTERBOTTENS LÄN</t>
        </is>
      </c>
      <c r="G112" t="inlineStr">
        <is>
          <t>STORUMAN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2788-2022</t>
        </is>
      </c>
      <c r="B113" t="inlineStr">
        <is>
          <t>avverkningsanmälan</t>
        </is>
      </c>
      <c r="C113" t="inlineStr">
        <is>
          <t>Föryngringsavverkning</t>
        </is>
      </c>
      <c r="D113" s="1" t="n">
        <v>44580</v>
      </c>
      <c r="E113" s="1" t="n">
        <v>46266</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46266</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6636-2022</t>
        </is>
      </c>
      <c r="B115" t="inlineStr">
        <is>
          <t>avverkningsanmälan</t>
        </is>
      </c>
      <c r="C115" t="inlineStr">
        <is>
          <t>Föryngringsavverkning</t>
        </is>
      </c>
      <c r="D115" s="1" t="n">
        <v>44601</v>
      </c>
      <c r="E115" s="1" t="n">
        <v>46266</v>
      </c>
      <c r="F115" t="inlineStr">
        <is>
          <t>VÄSTERBOTTENS LÄN</t>
        </is>
      </c>
      <c r="G115" t="inlineStr">
        <is>
          <t>STORUMAN</t>
        </is>
      </c>
      <c r="I115" t="n">
        <v>23.5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6758-2023</t>
        </is>
      </c>
      <c r="B116" t="inlineStr">
        <is>
          <t>avverkningsanmälan</t>
        </is>
      </c>
      <c r="C116" t="inlineStr">
        <is>
          <t>Föryngringsavverkning</t>
        </is>
      </c>
      <c r="D116" s="1" t="n">
        <v>44966</v>
      </c>
      <c r="E116" s="1" t="n">
        <v>46266</v>
      </c>
      <c r="F116" t="inlineStr">
        <is>
          <t>VÄSTERBOTTENS LÄN</t>
        </is>
      </c>
      <c r="G116" t="inlineStr">
        <is>
          <t>STORUMAN</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72281-2021</t>
        </is>
      </c>
      <c r="B117" t="inlineStr">
        <is>
          <t>avverkningsanmälan</t>
        </is>
      </c>
      <c r="C117" t="inlineStr">
        <is>
          <t>Föryngringsavverkning</t>
        </is>
      </c>
      <c r="D117" s="1" t="n">
        <v>44543</v>
      </c>
      <c r="E117" s="1" t="n">
        <v>46266</v>
      </c>
      <c r="F117" t="inlineStr">
        <is>
          <t>VÄSTERBOTTENS LÄN</t>
        </is>
      </c>
      <c r="G117" t="inlineStr">
        <is>
          <t>STORUMAN</t>
        </is>
      </c>
      <c r="I117" t="n">
        <v>18.5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6549-2023</t>
        </is>
      </c>
      <c r="B118" t="inlineStr">
        <is>
          <t>avverkningsanmälan</t>
        </is>
      </c>
      <c r="C118" t="inlineStr">
        <is>
          <t>Föryngringsavverkning</t>
        </is>
      </c>
      <c r="D118" s="1" t="n">
        <v>44966</v>
      </c>
      <c r="E118" s="1" t="n">
        <v>46266</v>
      </c>
      <c r="F118" t="inlineStr">
        <is>
          <t>VÄSTERBOTTENS LÄN</t>
        </is>
      </c>
      <c r="G118" t="inlineStr">
        <is>
          <t>STORUMAN</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12561-2023</t>
        </is>
      </c>
      <c r="B119" t="inlineStr">
        <is>
          <t>avverkningsanmälan</t>
        </is>
      </c>
      <c r="C119" t="inlineStr">
        <is>
          <t>Föryngringsavverkning</t>
        </is>
      </c>
      <c r="D119" s="1" t="n">
        <v>44998</v>
      </c>
      <c r="E119" s="1" t="n">
        <v>46266</v>
      </c>
      <c r="F119" t="inlineStr">
        <is>
          <t>VÄSTERBOTTENS LÄN</t>
        </is>
      </c>
      <c r="G119" t="inlineStr">
        <is>
          <t>STORUMAN</t>
        </is>
      </c>
      <c r="H119" t="inlineStr">
        <is>
          <t>Övriga statliga verk och myndigheter</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12550-2023</t>
        </is>
      </c>
      <c r="B120" t="inlineStr">
        <is>
          <t>avverkningsanmälan</t>
        </is>
      </c>
      <c r="C120" t="inlineStr">
        <is>
          <t>Föryngringsavverkning</t>
        </is>
      </c>
      <c r="D120" s="1" t="n">
        <v>44998</v>
      </c>
      <c r="E120" s="1" t="n">
        <v>46266</v>
      </c>
      <c r="F120" t="inlineStr">
        <is>
          <t>VÄSTERBOTTENS LÄN</t>
        </is>
      </c>
      <c r="G120" t="inlineStr">
        <is>
          <t>STORUMAN</t>
        </is>
      </c>
      <c r="H120" t="inlineStr">
        <is>
          <t>Övriga statliga verk och myndigheter</t>
        </is>
      </c>
      <c r="I120" t="n">
        <v>9.300000000000001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12556-2023</t>
        </is>
      </c>
      <c r="B121" t="inlineStr">
        <is>
          <t>avverkningsanmälan</t>
        </is>
      </c>
      <c r="C121" t="inlineStr">
        <is>
          <t>Föryngringsavverkning</t>
        </is>
      </c>
      <c r="D121" s="1" t="n">
        <v>44998</v>
      </c>
      <c r="E121" s="1" t="n">
        <v>46266</v>
      </c>
      <c r="F121" t="inlineStr">
        <is>
          <t>VÄSTERBOTTENS LÄN</t>
        </is>
      </c>
      <c r="G121" t="inlineStr">
        <is>
          <t>STORUMAN</t>
        </is>
      </c>
      <c r="H121" t="inlineStr">
        <is>
          <t>Övriga statliga verk och myndigheter</t>
        </is>
      </c>
      <c r="I121" t="n">
        <v>9.800000000000001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43345-2023</t>
        </is>
      </c>
      <c r="B122" t="inlineStr">
        <is>
          <t>avverkningsanmälan</t>
        </is>
      </c>
      <c r="C122" t="inlineStr">
        <is>
          <t>Föryngringsavverkning</t>
        </is>
      </c>
      <c r="D122" s="1" t="n">
        <v>45181</v>
      </c>
      <c r="E122" s="1" t="n">
        <v>46266</v>
      </c>
      <c r="F122" t="inlineStr">
        <is>
          <t>VÄSTERBOTTENS LÄN</t>
        </is>
      </c>
      <c r="G122" t="inlineStr">
        <is>
          <t>STORUMAN</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41842-2024</t>
        </is>
      </c>
      <c r="B123" t="inlineStr">
        <is>
          <t>avverkningsanmälan</t>
        </is>
      </c>
      <c r="C123" t="inlineStr">
        <is>
          <t>Föryngringsavverkning</t>
        </is>
      </c>
      <c r="D123" s="1" t="n">
        <v>45561</v>
      </c>
      <c r="E123" s="1" t="n">
        <v>46266</v>
      </c>
      <c r="F123" t="inlineStr">
        <is>
          <t>VÄSTERBOTTENS LÄN</t>
        </is>
      </c>
      <c r="G123" t="inlineStr">
        <is>
          <t>STORUMAN</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60854-2023</t>
        </is>
      </c>
      <c r="B124" t="inlineStr">
        <is>
          <t>avverkningsanmälan</t>
        </is>
      </c>
      <c r="C124" t="inlineStr">
        <is>
          <t>Föryngringsavverkning</t>
        </is>
      </c>
      <c r="D124" s="1" t="n">
        <v>45260</v>
      </c>
      <c r="E124" s="1" t="n">
        <v>46266</v>
      </c>
      <c r="F124" t="inlineStr">
        <is>
          <t>VÄSTERBOTTENS LÄN</t>
        </is>
      </c>
      <c r="G124" t="inlineStr">
        <is>
          <t>STORUMAN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512-2025</t>
        </is>
      </c>
      <c r="B125" t="inlineStr">
        <is>
          <t>avverkningsanmälan</t>
        </is>
      </c>
      <c r="C125" t="inlineStr">
        <is>
          <t>Föryngringsavverkning</t>
        </is>
      </c>
      <c r="D125" s="1" t="n">
        <v>45660</v>
      </c>
      <c r="E125" s="1" t="n">
        <v>46266</v>
      </c>
      <c r="F125" t="inlineStr">
        <is>
          <t>VÄSTERBOTTENS LÄN</t>
        </is>
      </c>
      <c r="G125" t="inlineStr">
        <is>
          <t>STORUMAN</t>
        </is>
      </c>
      <c r="I125" t="n">
        <v>18.5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48833-2025</t>
        </is>
      </c>
      <c r="B126" t="inlineStr">
        <is>
          <t>avverkningsanmälan</t>
        </is>
      </c>
      <c r="C126" t="inlineStr">
        <is>
          <t>Föryngringsavverkning</t>
        </is>
      </c>
      <c r="D126" s="1" t="n">
        <v>45937</v>
      </c>
      <c r="E126" s="1" t="n">
        <v>46266</v>
      </c>
      <c r="F126" t="inlineStr">
        <is>
          <t>VÄSTERBOTTENS LÄN</t>
        </is>
      </c>
      <c r="G126" t="inlineStr">
        <is>
          <t>STORUMAN</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72276-2021</t>
        </is>
      </c>
      <c r="B127" t="inlineStr">
        <is>
          <t>avverkningsanmälan</t>
        </is>
      </c>
      <c r="C127" t="inlineStr">
        <is>
          <t>Föryngringsavverkning</t>
        </is>
      </c>
      <c r="D127" s="1" t="n">
        <v>44543</v>
      </c>
      <c r="E127" s="1" t="n">
        <v>46266</v>
      </c>
      <c r="F127" t="inlineStr">
        <is>
          <t>VÄSTERBOTTENS LÄN</t>
        </is>
      </c>
      <c r="G127" t="inlineStr">
        <is>
          <t>STORUMAN</t>
        </is>
      </c>
      <c r="I127" t="n">
        <v>19.8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60535-2023</t>
        </is>
      </c>
      <c r="B128" t="inlineStr">
        <is>
          <t>avverkningsanmälan</t>
        </is>
      </c>
      <c r="C128" t="inlineStr">
        <is>
          <t>Föryngringsavverkning</t>
        </is>
      </c>
      <c r="D128" s="1" t="n">
        <v>45258</v>
      </c>
      <c r="E128" s="1" t="n">
        <v>46266</v>
      </c>
      <c r="F128" t="inlineStr">
        <is>
          <t>VÄSTERBOTTENS LÄN</t>
        </is>
      </c>
      <c r="G128" t="inlineStr">
        <is>
          <t>STORUMAN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43840-2024</t>
        </is>
      </c>
      <c r="B129" t="inlineStr">
        <is>
          <t>avverkningsanmälan</t>
        </is>
      </c>
      <c r="C129" t="inlineStr">
        <is>
          <t>Föryngringsavverkning</t>
        </is>
      </c>
      <c r="D129" s="1" t="n">
        <v>45572</v>
      </c>
      <c r="E129" s="1" t="n">
        <v>46266</v>
      </c>
      <c r="F129" t="inlineStr">
        <is>
          <t>VÄSTERBOTTENS LÄN</t>
        </is>
      </c>
      <c r="G129" t="inlineStr">
        <is>
          <t>STORUMAN</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39104-2025</t>
        </is>
      </c>
      <c r="B130" t="inlineStr">
        <is>
          <t>avverkningsanmälan</t>
        </is>
      </c>
      <c r="C130" t="inlineStr">
        <is>
          <t>Föryngringsavverkning</t>
        </is>
      </c>
      <c r="D130" s="1" t="n">
        <v>45888</v>
      </c>
      <c r="E130" s="1" t="n">
        <v>46266</v>
      </c>
      <c r="F130" t="inlineStr">
        <is>
          <t>VÄSTERBOTTENS LÄN</t>
        </is>
      </c>
      <c r="G130" t="inlineStr">
        <is>
          <t>STORUMAN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39711-2025</t>
        </is>
      </c>
      <c r="B131" t="inlineStr">
        <is>
          <t>avverkningsanmälan</t>
        </is>
      </c>
      <c r="C131" t="inlineStr">
        <is>
          <t>Föryngringsavverkning</t>
        </is>
      </c>
      <c r="D131" s="1" t="n">
        <v>45890</v>
      </c>
      <c r="E131" s="1" t="n">
        <v>46266</v>
      </c>
      <c r="F131" t="inlineStr">
        <is>
          <t>VÄSTERBOTTENS LÄN</t>
        </is>
      </c>
      <c r="G131" t="inlineStr">
        <is>
          <t>STORUMAN</t>
        </is>
      </c>
      <c r="I131" t="n">
        <v>9.6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27552-2024</t>
        </is>
      </c>
      <c r="B132" t="inlineStr">
        <is>
          <t>avverkningsanmälan</t>
        </is>
      </c>
      <c r="C132" t="inlineStr">
        <is>
          <t>Föryngringsavverkning</t>
        </is>
      </c>
      <c r="D132" s="1" t="n">
        <v>45474</v>
      </c>
      <c r="E132" s="1" t="n">
        <v>46266</v>
      </c>
      <c r="F132" t="inlineStr">
        <is>
          <t>VÄSTERBOTTENS LÄN</t>
        </is>
      </c>
      <c r="G132" t="inlineStr">
        <is>
          <t>STORUMAN</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15386-2024</t>
        </is>
      </c>
      <c r="B133" t="inlineStr">
        <is>
          <t>avverkningsanmälan</t>
        </is>
      </c>
      <c r="C133" t="inlineStr">
        <is>
          <t>Föryngringsavverkning</t>
        </is>
      </c>
      <c r="D133" s="1" t="n">
        <v>45400</v>
      </c>
      <c r="E133" s="1" t="n">
        <v>46266</v>
      </c>
      <c r="F133" t="inlineStr">
        <is>
          <t>VÄSTERBOTTENS LÄN</t>
        </is>
      </c>
      <c r="G133" t="inlineStr">
        <is>
          <t>STORUMAN</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41127-2025</t>
        </is>
      </c>
      <c r="B134" t="inlineStr">
        <is>
          <t>avverkningsanmälan</t>
        </is>
      </c>
      <c r="C134" t="inlineStr">
        <is>
          <t>Föryngringsavverkning</t>
        </is>
      </c>
      <c r="D134" s="1" t="n">
        <v>45898</v>
      </c>
      <c r="E134" s="1" t="n">
        <v>46266</v>
      </c>
      <c r="F134" t="inlineStr">
        <is>
          <t>VÄSTERBOTTENS LÄN</t>
        </is>
      </c>
      <c r="G134" t="inlineStr">
        <is>
          <t>STORUMAN</t>
        </is>
      </c>
      <c r="H134" t="inlineStr">
        <is>
          <t>Sveaskog</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41138-2025</t>
        </is>
      </c>
      <c r="B135" t="inlineStr">
        <is>
          <t>avverkningsanmälan</t>
        </is>
      </c>
      <c r="C135" t="inlineStr">
        <is>
          <t>Föryngringsavverkning</t>
        </is>
      </c>
      <c r="D135" s="1" t="n">
        <v>45898</v>
      </c>
      <c r="E135" s="1" t="n">
        <v>46266</v>
      </c>
      <c r="F135" t="inlineStr">
        <is>
          <t>VÄSTERBOTTENS LÄN</t>
        </is>
      </c>
      <c r="G135" t="inlineStr">
        <is>
          <t>STORUMAN</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41149-2025</t>
        </is>
      </c>
      <c r="B136" t="inlineStr">
        <is>
          <t>avverkningsanmälan</t>
        </is>
      </c>
      <c r="C136" t="inlineStr">
        <is>
          <t>Föryngringsavverkning</t>
        </is>
      </c>
      <c r="D136" s="1" t="n">
        <v>45898</v>
      </c>
      <c r="E136" s="1" t="n">
        <v>46266</v>
      </c>
      <c r="F136" t="inlineStr">
        <is>
          <t>VÄSTERBOTTENS LÄN</t>
        </is>
      </c>
      <c r="G136" t="inlineStr">
        <is>
          <t>STORUMAN</t>
        </is>
      </c>
      <c r="H136" t="inlineStr">
        <is>
          <t>Sveaskog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14823-2024</t>
        </is>
      </c>
      <c r="B137" t="inlineStr">
        <is>
          <t>avverkningsanmälan</t>
        </is>
      </c>
      <c r="C137" t="inlineStr">
        <is>
          <t>Föryngringsavverkning</t>
        </is>
      </c>
      <c r="D137" s="1" t="n">
        <v>45397</v>
      </c>
      <c r="E137" s="1" t="n">
        <v>46266</v>
      </c>
      <c r="F137" t="inlineStr">
        <is>
          <t>VÄSTERBOTTENS LÄN</t>
        </is>
      </c>
      <c r="G137" t="inlineStr">
        <is>
          <t>STORUMAN</t>
        </is>
      </c>
      <c r="I137" t="n">
        <v>18.2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41141-2025</t>
        </is>
      </c>
      <c r="B138" t="inlineStr">
        <is>
          <t>avverkningsanmälan</t>
        </is>
      </c>
      <c r="C138" t="inlineStr">
        <is>
          <t>Föryngringsavverkning</t>
        </is>
      </c>
      <c r="D138" s="1" t="n">
        <v>45898</v>
      </c>
      <c r="E138" s="1" t="n">
        <v>46266</v>
      </c>
      <c r="F138" t="inlineStr">
        <is>
          <t>VÄSTERBOTTENS LÄN</t>
        </is>
      </c>
      <c r="G138" t="inlineStr">
        <is>
          <t>STORUMAN</t>
        </is>
      </c>
      <c r="H138" t="inlineStr">
        <is>
          <t>Sveaskog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41126-2025</t>
        </is>
      </c>
      <c r="B139" t="inlineStr">
        <is>
          <t>avverkningsanmälan</t>
        </is>
      </c>
      <c r="C139" t="inlineStr">
        <is>
          <t>Föryngringsavverkning</t>
        </is>
      </c>
      <c r="D139" s="1" t="n">
        <v>45898</v>
      </c>
      <c r="E139" s="1" t="n">
        <v>46266</v>
      </c>
      <c r="F139" t="inlineStr">
        <is>
          <t>VÄSTERBOTTENS LÄN</t>
        </is>
      </c>
      <c r="G139" t="inlineStr">
        <is>
          <t>STORUMAN</t>
        </is>
      </c>
      <c r="H139" t="inlineStr">
        <is>
          <t>Sveaskog</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41145-2025</t>
        </is>
      </c>
      <c r="B140" t="inlineStr">
        <is>
          <t>avverkningsanmälan</t>
        </is>
      </c>
      <c r="C140" t="inlineStr">
        <is>
          <t>Föryngringsavverkning</t>
        </is>
      </c>
      <c r="D140" s="1" t="n">
        <v>45898</v>
      </c>
      <c r="E140" s="1" t="n">
        <v>46266</v>
      </c>
      <c r="F140" t="inlineStr">
        <is>
          <t>VÄSTERBOTTENS LÄN</t>
        </is>
      </c>
      <c r="G140" t="inlineStr">
        <is>
          <t>STORUMAN</t>
        </is>
      </c>
      <c r="H140" t="inlineStr">
        <is>
          <t>Sveaskog</t>
        </is>
      </c>
      <c r="I140" t="n">
        <v>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41142-2025</t>
        </is>
      </c>
      <c r="B141" t="inlineStr">
        <is>
          <t>avverkningsanmälan</t>
        </is>
      </c>
      <c r="C141" t="inlineStr">
        <is>
          <t>Föryngringsavverkning</t>
        </is>
      </c>
      <c r="D141" s="1" t="n">
        <v>45898</v>
      </c>
      <c r="E141" s="1" t="n">
        <v>46266</v>
      </c>
      <c r="F141" t="inlineStr">
        <is>
          <t>VÄSTERBOTTENS LÄN</t>
        </is>
      </c>
      <c r="G141" t="inlineStr">
        <is>
          <t>STORUMAN</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41864-2025</t>
        </is>
      </c>
      <c r="B142" t="inlineStr">
        <is>
          <t>avverkningsanmälan</t>
        </is>
      </c>
      <c r="C142" t="inlineStr">
        <is>
          <t>Avverkning för annat ändamål</t>
        </is>
      </c>
      <c r="D142" s="1" t="n">
        <v>45903</v>
      </c>
      <c r="E142" s="1" t="n">
        <v>46266</v>
      </c>
      <c r="F142" t="inlineStr">
        <is>
          <t>VÄSTERBOTTENS LÄN</t>
        </is>
      </c>
      <c r="G142" t="inlineStr">
        <is>
          <t>STORUMAN</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42763-2025</t>
        </is>
      </c>
      <c r="B143" t="inlineStr">
        <is>
          <t>avverkningsanmälan</t>
        </is>
      </c>
      <c r="C143" t="inlineStr">
        <is>
          <t>Föryngringsavverkning</t>
        </is>
      </c>
      <c r="D143" s="1" t="n">
        <v>45908</v>
      </c>
      <c r="E143" s="1" t="n">
        <v>46266</v>
      </c>
      <c r="F143" t="inlineStr">
        <is>
          <t>VÄSTERBOTTENS LÄN</t>
        </is>
      </c>
      <c r="G143" t="inlineStr">
        <is>
          <t>STORUMAN</t>
        </is>
      </c>
      <c r="H143" t="inlineStr">
        <is>
          <t>SCA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40676-2024</t>
        </is>
      </c>
      <c r="B144" t="inlineStr">
        <is>
          <t>avverkningsanmälan</t>
        </is>
      </c>
      <c r="C144" t="inlineStr">
        <is>
          <t>Föryngringsavverkning</t>
        </is>
      </c>
      <c r="D144" s="1" t="n">
        <v>45558</v>
      </c>
      <c r="E144" s="1" t="n">
        <v>46266</v>
      </c>
      <c r="F144" t="inlineStr">
        <is>
          <t>VÄSTERBOTTENS LÄN</t>
        </is>
      </c>
      <c r="G144" t="inlineStr">
        <is>
          <t>STORUMAN</t>
        </is>
      </c>
      <c r="H144" t="inlineStr">
        <is>
          <t>Holmen skog AB</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50083-2025</t>
        </is>
      </c>
      <c r="B145" t="inlineStr">
        <is>
          <t>avverkningsanmälan</t>
        </is>
      </c>
      <c r="C145" t="inlineStr">
        <is>
          <t>Föryngringsavverkning</t>
        </is>
      </c>
      <c r="D145" s="1" t="n">
        <v>45943</v>
      </c>
      <c r="E145" s="1" t="n">
        <v>46266</v>
      </c>
      <c r="F145" t="inlineStr">
        <is>
          <t>VÄSTERBOTTENS LÄN</t>
        </is>
      </c>
      <c r="G145" t="inlineStr">
        <is>
          <t>STORUMAN</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42423-2024</t>
        </is>
      </c>
      <c r="B146" t="inlineStr">
        <is>
          <t>avverkningsanmälan</t>
        </is>
      </c>
      <c r="C146" t="inlineStr">
        <is>
          <t>Avverkning för annat ändamål</t>
        </is>
      </c>
      <c r="D146" s="1" t="n">
        <v>45565</v>
      </c>
      <c r="E146" s="1" t="n">
        <v>46266</v>
      </c>
      <c r="F146" t="inlineStr">
        <is>
          <t>VÄSTERBOTTENS LÄN</t>
        </is>
      </c>
      <c r="G146" t="inlineStr">
        <is>
          <t>STORUMAN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13708-2022</t>
        </is>
      </c>
      <c r="B147" t="inlineStr">
        <is>
          <t>avverkningsanmälan</t>
        </is>
      </c>
      <c r="C147" t="inlineStr">
        <is>
          <t>Föryngringsavverkning</t>
        </is>
      </c>
      <c r="D147" s="1" t="n">
        <v>44648</v>
      </c>
      <c r="E147" s="1" t="n">
        <v>46266</v>
      </c>
      <c r="F147" t="inlineStr">
        <is>
          <t>VÄSTERBOTTENS LÄN</t>
        </is>
      </c>
      <c r="G147" t="inlineStr">
        <is>
          <t>STORUMAN</t>
        </is>
      </c>
      <c r="I147" t="n">
        <v>17.1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50087-2025</t>
        </is>
      </c>
      <c r="B148" t="inlineStr">
        <is>
          <t>avverkningsanmälan</t>
        </is>
      </c>
      <c r="C148" t="inlineStr">
        <is>
          <t>Föryngringsavverkning</t>
        </is>
      </c>
      <c r="D148" s="1" t="n">
        <v>45943</v>
      </c>
      <c r="E148" s="1" t="n">
        <v>46266</v>
      </c>
      <c r="F148" t="inlineStr">
        <is>
          <t>VÄSTERBOTTENS LÄN</t>
        </is>
      </c>
      <c r="G148" t="inlineStr">
        <is>
          <t>STORUMAN</t>
        </is>
      </c>
      <c r="H148" t="inlineStr">
        <is>
          <t>Sveaskog</t>
        </is>
      </c>
      <c r="I148" t="n">
        <v>10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50075-2025</t>
        </is>
      </c>
      <c r="B149" t="inlineStr">
        <is>
          <t>avverkningsanmälan</t>
        </is>
      </c>
      <c r="C149" t="inlineStr">
        <is>
          <t>Föryngringsavverkning</t>
        </is>
      </c>
      <c r="D149" s="1" t="n">
        <v>45943</v>
      </c>
      <c r="E149" s="1" t="n">
        <v>46266</v>
      </c>
      <c r="F149" t="inlineStr">
        <is>
          <t>VÄSTERBOTTENS LÄN</t>
        </is>
      </c>
      <c r="G149" t="inlineStr">
        <is>
          <t>STORUMAN</t>
        </is>
      </c>
      <c r="H149" t="inlineStr">
        <is>
          <t>Sveaskog</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26329-2025</t>
        </is>
      </c>
      <c r="B150" t="inlineStr">
        <is>
          <t>avverkningsanmälan</t>
        </is>
      </c>
      <c r="C150" t="inlineStr">
        <is>
          <t>Föryngringsavverkning</t>
        </is>
      </c>
      <c r="D150" s="1" t="n">
        <v>45805</v>
      </c>
      <c r="E150" s="1" t="n">
        <v>46266</v>
      </c>
      <c r="F150" t="inlineStr">
        <is>
          <t>VÄSTERBOTTENS LÄN</t>
        </is>
      </c>
      <c r="G150" t="inlineStr">
        <is>
          <t>STORUMAN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26344-2025</t>
        </is>
      </c>
      <c r="B151" t="inlineStr">
        <is>
          <t>avverkningsanmälan</t>
        </is>
      </c>
      <c r="C151" t="inlineStr">
        <is>
          <t>Föryngringsavverkning</t>
        </is>
      </c>
      <c r="D151" s="1" t="n">
        <v>45805</v>
      </c>
      <c r="E151" s="1" t="n">
        <v>46266</v>
      </c>
      <c r="F151" t="inlineStr">
        <is>
          <t>VÄSTERBOTTENS LÄN</t>
        </is>
      </c>
      <c r="G151" t="inlineStr">
        <is>
          <t>STORUMAN</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44149-2025</t>
        </is>
      </c>
      <c r="B152" t="inlineStr">
        <is>
          <t>avverkningsanmälan</t>
        </is>
      </c>
      <c r="C152" t="inlineStr">
        <is>
          <t>Föryngringsavverkning</t>
        </is>
      </c>
      <c r="D152" s="1" t="n">
        <v>45915</v>
      </c>
      <c r="E152" s="1" t="n">
        <v>46266</v>
      </c>
      <c r="F152" t="inlineStr">
        <is>
          <t>VÄSTERBOTTENS LÄN</t>
        </is>
      </c>
      <c r="G152" t="inlineStr">
        <is>
          <t>STORUMAN</t>
        </is>
      </c>
      <c r="H152" t="inlineStr">
        <is>
          <t>Allmännings- och besparingsskogar</t>
        </is>
      </c>
      <c r="I152" t="n">
        <v>18.9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44128-2025</t>
        </is>
      </c>
      <c r="B153" t="inlineStr">
        <is>
          <t>avverkningsanmälan</t>
        </is>
      </c>
      <c r="C153" t="inlineStr">
        <is>
          <t>Föryngringsavverkning</t>
        </is>
      </c>
      <c r="D153" s="1" t="n">
        <v>45915</v>
      </c>
      <c r="E153" s="1" t="n">
        <v>46266</v>
      </c>
      <c r="F153" t="inlineStr">
        <is>
          <t>VÄSTERBOTTENS LÄN</t>
        </is>
      </c>
      <c r="G153" t="inlineStr">
        <is>
          <t>STORUMAN</t>
        </is>
      </c>
      <c r="H153" t="inlineStr">
        <is>
          <t>Allmännings- och besparingsskogar</t>
        </is>
      </c>
      <c r="I153" t="n">
        <v>36.5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44134-2025</t>
        </is>
      </c>
      <c r="B154" t="inlineStr">
        <is>
          <t>avverkningsanmälan</t>
        </is>
      </c>
      <c r="C154" t="inlineStr">
        <is>
          <t>Föryngringsavverkning</t>
        </is>
      </c>
      <c r="D154" s="1" t="n">
        <v>45915</v>
      </c>
      <c r="E154" s="1" t="n">
        <v>46266</v>
      </c>
      <c r="F154" t="inlineStr">
        <is>
          <t>VÄSTERBOTTENS LÄN</t>
        </is>
      </c>
      <c r="G154" t="inlineStr">
        <is>
          <t>STORUMAN</t>
        </is>
      </c>
      <c r="H154" t="inlineStr">
        <is>
          <t>Allmännings- och besparingsskogar</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44166-2025</t>
        </is>
      </c>
      <c r="B155" t="inlineStr">
        <is>
          <t>avverkningsanmälan</t>
        </is>
      </c>
      <c r="C155" t="inlineStr">
        <is>
          <t>Föryngringsavverkning</t>
        </is>
      </c>
      <c r="D155" s="1" t="n">
        <v>45915</v>
      </c>
      <c r="E155" s="1" t="n">
        <v>46266</v>
      </c>
      <c r="F155" t="inlineStr">
        <is>
          <t>VÄSTERBOTTENS LÄN</t>
        </is>
      </c>
      <c r="G155" t="inlineStr">
        <is>
          <t>STORUMAN</t>
        </is>
      </c>
      <c r="H155" t="inlineStr">
        <is>
          <t>Allmännings- och besparingsskogar</t>
        </is>
      </c>
      <c r="I155" t="n">
        <v>36.3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50071-2025</t>
        </is>
      </c>
      <c r="B156" t="inlineStr">
        <is>
          <t>avverkningsanmälan</t>
        </is>
      </c>
      <c r="C156" t="inlineStr">
        <is>
          <t>Föryngringsavverkning</t>
        </is>
      </c>
      <c r="D156" s="1" t="n">
        <v>45943</v>
      </c>
      <c r="E156" s="1" t="n">
        <v>46266</v>
      </c>
      <c r="F156" t="inlineStr">
        <is>
          <t>VÄSTERBOTTENS LÄN</t>
        </is>
      </c>
      <c r="G156" t="inlineStr">
        <is>
          <t>STORUMAN</t>
        </is>
      </c>
      <c r="H156" t="inlineStr">
        <is>
          <t>Sveaskog</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26768-2025</t>
        </is>
      </c>
      <c r="B157" t="inlineStr">
        <is>
          <t>avverkningsanmälan</t>
        </is>
      </c>
      <c r="C157" t="inlineStr">
        <is>
          <t>Föryngringsavverkning</t>
        </is>
      </c>
      <c r="D157" s="1" t="n">
        <v>45810</v>
      </c>
      <c r="E157" s="1" t="n">
        <v>46266</v>
      </c>
      <c r="F157" t="inlineStr">
        <is>
          <t>VÄSTERBOTTENS LÄN</t>
        </is>
      </c>
      <c r="G157" t="inlineStr">
        <is>
          <t>STORUMAN</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26718-2025</t>
        </is>
      </c>
      <c r="B158" t="inlineStr">
        <is>
          <t>avverkningsanmälan</t>
        </is>
      </c>
      <c r="C158" t="inlineStr">
        <is>
          <t>Föryngringsavverkning</t>
        </is>
      </c>
      <c r="D158" s="1" t="n">
        <v>45810</v>
      </c>
      <c r="E158" s="1" t="n">
        <v>46266</v>
      </c>
      <c r="F158" t="inlineStr">
        <is>
          <t>VÄSTERBOTTENS LÄN</t>
        </is>
      </c>
      <c r="G158" t="inlineStr">
        <is>
          <t>STORUMAN</t>
        </is>
      </c>
      <c r="H158" t="inlineStr">
        <is>
          <t>Sveaskog</t>
        </is>
      </c>
      <c r="I158" t="n">
        <v>6.9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26764-2025</t>
        </is>
      </c>
      <c r="B159" t="inlineStr">
        <is>
          <t>avverkningsanmälan</t>
        </is>
      </c>
      <c r="C159" t="inlineStr">
        <is>
          <t>Föryngringsavverkning</t>
        </is>
      </c>
      <c r="D159" s="1" t="n">
        <v>45810</v>
      </c>
      <c r="E159" s="1" t="n">
        <v>46266</v>
      </c>
      <c r="F159" t="inlineStr">
        <is>
          <t>VÄSTERBOTTENS LÄN</t>
        </is>
      </c>
      <c r="G159" t="inlineStr">
        <is>
          <t>STORUMAN</t>
        </is>
      </c>
      <c r="H159" t="inlineStr">
        <is>
          <t>Sveaskog</t>
        </is>
      </c>
      <c r="I159" t="n">
        <v>12.6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244-2024</t>
        </is>
      </c>
      <c r="B160" t="inlineStr">
        <is>
          <t>avverkningsanmälan</t>
        </is>
      </c>
      <c r="C160" t="inlineStr">
        <is>
          <t>Föryngringsavverkning</t>
        </is>
      </c>
      <c r="D160" s="1" t="n">
        <v>45294</v>
      </c>
      <c r="E160" s="1" t="n">
        <v>46266</v>
      </c>
      <c r="F160" t="inlineStr">
        <is>
          <t>VÄSTERBOTTENS LÄN</t>
        </is>
      </c>
      <c r="G160" t="inlineStr">
        <is>
          <t>STORUMAN</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35374-2024</t>
        </is>
      </c>
      <c r="B161" t="inlineStr">
        <is>
          <t>avverkningsanmälan</t>
        </is>
      </c>
      <c r="C161" t="inlineStr">
        <is>
          <t>Föryngringsavverkning</t>
        </is>
      </c>
      <c r="D161" s="1" t="n">
        <v>45531</v>
      </c>
      <c r="E161" s="1" t="n">
        <v>46266</v>
      </c>
      <c r="F161" t="inlineStr">
        <is>
          <t>VÄSTERBOTTENS LÄN</t>
        </is>
      </c>
      <c r="G161" t="inlineStr">
        <is>
          <t>STORUMAN</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72289-2021</t>
        </is>
      </c>
      <c r="B162" t="inlineStr">
        <is>
          <t>avverkningsanmälan</t>
        </is>
      </c>
      <c r="C162" t="inlineStr">
        <is>
          <t>Föryngringsavverkning</t>
        </is>
      </c>
      <c r="D162" s="1" t="n">
        <v>44543</v>
      </c>
      <c r="E162" s="1" t="n">
        <v>46266</v>
      </c>
      <c r="F162" t="inlineStr">
        <is>
          <t>VÄSTERBOTTENS LÄN</t>
        </is>
      </c>
      <c r="G162" t="inlineStr">
        <is>
          <t>STORUMAN</t>
        </is>
      </c>
      <c r="I162" t="n">
        <v>19.7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46595-2025</t>
        </is>
      </c>
      <c r="B163" t="inlineStr">
        <is>
          <t>avverkningsanmälan</t>
        </is>
      </c>
      <c r="C163" t="inlineStr">
        <is>
          <t>Föryngringsavverkning</t>
        </is>
      </c>
      <c r="D163" s="1" t="n">
        <v>45926</v>
      </c>
      <c r="E163" s="1" t="n">
        <v>46266</v>
      </c>
      <c r="F163" t="inlineStr">
        <is>
          <t>VÄSTERBOTTENS LÄN</t>
        </is>
      </c>
      <c r="G163" t="inlineStr">
        <is>
          <t>STORUMAN</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46586-2025</t>
        </is>
      </c>
      <c r="B164" t="inlineStr">
        <is>
          <t>avverkningsanmälan</t>
        </is>
      </c>
      <c r="C164" t="inlineStr">
        <is>
          <t>Föryngringsavverkning</t>
        </is>
      </c>
      <c r="D164" s="1" t="n">
        <v>45926</v>
      </c>
      <c r="E164" s="1" t="n">
        <v>46266</v>
      </c>
      <c r="F164" t="inlineStr">
        <is>
          <t>VÄSTERBOTTENS LÄN</t>
        </is>
      </c>
      <c r="G164" t="inlineStr">
        <is>
          <t>STORUMAN</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47125-2025</t>
        </is>
      </c>
      <c r="B165" t="inlineStr">
        <is>
          <t>avverkningsanmälan</t>
        </is>
      </c>
      <c r="C165" t="inlineStr">
        <is>
          <t>Avverkning för annat ändamål</t>
        </is>
      </c>
      <c r="D165" s="1" t="n">
        <v>45929</v>
      </c>
      <c r="E165" s="1" t="n">
        <v>46266</v>
      </c>
      <c r="F165" t="inlineStr">
        <is>
          <t>VÄSTERBOTTENS LÄN</t>
        </is>
      </c>
      <c r="G165" t="inlineStr">
        <is>
          <t>STORUMAN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59249-2022</t>
        </is>
      </c>
      <c r="B166" t="inlineStr">
        <is>
          <t>avverkningsanmälan</t>
        </is>
      </c>
      <c r="C166" t="inlineStr">
        <is>
          <t>Föryngringsavverkning</t>
        </is>
      </c>
      <c r="D166" s="1" t="n">
        <v>44904</v>
      </c>
      <c r="E166" s="1" t="n">
        <v>46266</v>
      </c>
      <c r="F166" t="inlineStr">
        <is>
          <t>VÄSTERBOTTENS LÄN</t>
        </is>
      </c>
      <c r="G166" t="inlineStr">
        <is>
          <t>STORUMAN</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51981-2021</t>
        </is>
      </c>
      <c r="B167" t="inlineStr">
        <is>
          <t>avverkningsanmälan</t>
        </is>
      </c>
      <c r="C167" t="inlineStr">
        <is>
          <t>Föryngringsavverkning</t>
        </is>
      </c>
      <c r="D167" s="1" t="n">
        <v>44462</v>
      </c>
      <c r="E167" s="1" t="n">
        <v>46266</v>
      </c>
      <c r="F167" t="inlineStr">
        <is>
          <t>VÄSTERBOTTENS LÄN</t>
        </is>
      </c>
      <c r="G167" t="inlineStr">
        <is>
          <t>STORUMAN</t>
        </is>
      </c>
      <c r="I167" t="n">
        <v>20.9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50740-2025</t>
        </is>
      </c>
      <c r="B168" t="inlineStr">
        <is>
          <t>avverkningsanmälan</t>
        </is>
      </c>
      <c r="C168" t="inlineStr">
        <is>
          <t>Föryngringsavverkning</t>
        </is>
      </c>
      <c r="D168" s="1" t="n">
        <v>45946</v>
      </c>
      <c r="E168" s="1" t="n">
        <v>46266</v>
      </c>
      <c r="F168" t="inlineStr">
        <is>
          <t>VÄSTERBOTTENS LÄN</t>
        </is>
      </c>
      <c r="G168" t="inlineStr">
        <is>
          <t>STORUMAN</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16136-2022</t>
        </is>
      </c>
      <c r="B169" t="inlineStr">
        <is>
          <t>avverkningsanmälan</t>
        </is>
      </c>
      <c r="C169" t="inlineStr">
        <is>
          <t>Avverkning för annat ändamål</t>
        </is>
      </c>
      <c r="D169" s="1" t="n">
        <v>44665</v>
      </c>
      <c r="E169" s="1" t="n">
        <v>46266</v>
      </c>
      <c r="F169" t="inlineStr">
        <is>
          <t>VÄSTERBOTTENS LÄN</t>
        </is>
      </c>
      <c r="G169" t="inlineStr">
        <is>
          <t>STORUMAN</t>
        </is>
      </c>
      <c r="H169" t="inlineStr">
        <is>
          <t>Övriga statliga verk och myndigheter</t>
        </is>
      </c>
      <c r="I169" t="n">
        <v>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50729-2025</t>
        </is>
      </c>
      <c r="B170" t="inlineStr">
        <is>
          <t>avverkningsanmälan</t>
        </is>
      </c>
      <c r="C170" t="inlineStr">
        <is>
          <t>Föryngringsavverkning</t>
        </is>
      </c>
      <c r="D170" s="1" t="n">
        <v>45946</v>
      </c>
      <c r="E170" s="1" t="n">
        <v>46266</v>
      </c>
      <c r="F170" t="inlineStr">
        <is>
          <t>VÄSTERBOTTENS LÄN</t>
        </is>
      </c>
      <c r="G170" t="inlineStr">
        <is>
          <t>STORUMAN</t>
        </is>
      </c>
      <c r="I170" t="n">
        <v>35.2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50913-2022</t>
        </is>
      </c>
      <c r="B171" t="inlineStr">
        <is>
          <t>avverkningsanmälan</t>
        </is>
      </c>
      <c r="C171" t="inlineStr">
        <is>
          <t>Föryngringsavverkning</t>
        </is>
      </c>
      <c r="D171" s="1" t="n">
        <v>44867</v>
      </c>
      <c r="E171" s="1" t="n">
        <v>46266</v>
      </c>
      <c r="F171" t="inlineStr">
        <is>
          <t>VÄSTERBOTTENS LÄN</t>
        </is>
      </c>
      <c r="G171" t="inlineStr">
        <is>
          <t>STORUMAN</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51038-2025</t>
        </is>
      </c>
      <c r="B172" t="inlineStr">
        <is>
          <t>avverkningsanmälan</t>
        </is>
      </c>
      <c r="C172" t="inlineStr">
        <is>
          <t>Föryngringsavverkning</t>
        </is>
      </c>
      <c r="D172" s="1" t="n">
        <v>45947</v>
      </c>
      <c r="E172" s="1" t="n">
        <v>46266</v>
      </c>
      <c r="F172" t="inlineStr">
        <is>
          <t>VÄSTERBOTTENS LÄN</t>
        </is>
      </c>
      <c r="G172" t="inlineStr">
        <is>
          <t>STORUMAN</t>
        </is>
      </c>
      <c r="I172" t="n">
        <v>9.199999999999999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51045-2025</t>
        </is>
      </c>
      <c r="B173" t="inlineStr">
        <is>
          <t>avverkningsanmälan</t>
        </is>
      </c>
      <c r="C173" t="inlineStr">
        <is>
          <t>Föryngringsavverkning</t>
        </is>
      </c>
      <c r="D173" s="1" t="n">
        <v>45947</v>
      </c>
      <c r="E173" s="1" t="n">
        <v>46266</v>
      </c>
      <c r="F173" t="inlineStr">
        <is>
          <t>VÄSTERBOTTENS LÄN</t>
        </is>
      </c>
      <c r="G173" t="inlineStr">
        <is>
          <t>STORUMAN</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50737-2025</t>
        </is>
      </c>
      <c r="B174" t="inlineStr">
        <is>
          <t>avverkningsanmälan</t>
        </is>
      </c>
      <c r="C174" t="inlineStr">
        <is>
          <t>Avverkning för annat ändamål</t>
        </is>
      </c>
      <c r="D174" s="1" t="n">
        <v>45946</v>
      </c>
      <c r="E174" s="1" t="n">
        <v>46266</v>
      </c>
      <c r="F174" t="inlineStr">
        <is>
          <t>VÄSTERBOTTENS LÄN</t>
        </is>
      </c>
      <c r="G174" t="inlineStr">
        <is>
          <t>STORUMAN</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32202-2025</t>
        </is>
      </c>
      <c r="B175" t="inlineStr">
        <is>
          <t>avverkningsanmälan</t>
        </is>
      </c>
      <c r="C175" t="inlineStr">
        <is>
          <t>Föryngringsavverkning</t>
        </is>
      </c>
      <c r="D175" s="1" t="n">
        <v>45835</v>
      </c>
      <c r="E175" s="1" t="n">
        <v>46266</v>
      </c>
      <c r="F175" t="inlineStr">
        <is>
          <t>VÄSTERBOTTENS LÄN</t>
        </is>
      </c>
      <c r="G175" t="inlineStr">
        <is>
          <t>STORUMAN</t>
        </is>
      </c>
      <c r="H175" t="inlineStr">
        <is>
          <t>Sveaskog</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32196-2025</t>
        </is>
      </c>
      <c r="B176" t="inlineStr">
        <is>
          <t>avverkningsanmälan</t>
        </is>
      </c>
      <c r="C176" t="inlineStr">
        <is>
          <t>Föryngringsavverkning</t>
        </is>
      </c>
      <c r="D176" s="1" t="n">
        <v>45835</v>
      </c>
      <c r="E176" s="1" t="n">
        <v>46266</v>
      </c>
      <c r="F176" t="inlineStr">
        <is>
          <t>VÄSTERBOTTENS LÄN</t>
        </is>
      </c>
      <c r="G176" t="inlineStr">
        <is>
          <t>STORUMAN</t>
        </is>
      </c>
      <c r="H176" t="inlineStr">
        <is>
          <t>Sveaskog</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10204-2024</t>
        </is>
      </c>
      <c r="B177" t="inlineStr">
        <is>
          <t>avverkningsanmälan</t>
        </is>
      </c>
      <c r="C177" t="inlineStr">
        <is>
          <t>Föryngringsavverkning</t>
        </is>
      </c>
      <c r="D177" s="1" t="n">
        <v>45364</v>
      </c>
      <c r="E177" s="1" t="n">
        <v>46266</v>
      </c>
      <c r="F177" t="inlineStr">
        <is>
          <t>VÄSTERBOTTENS LÄN</t>
        </is>
      </c>
      <c r="G177" t="inlineStr">
        <is>
          <t>STORUMAN</t>
        </is>
      </c>
      <c r="I177" t="n">
        <v>12.3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32927-2025</t>
        </is>
      </c>
      <c r="B178" t="inlineStr">
        <is>
          <t>avverkningsanmälan</t>
        </is>
      </c>
      <c r="C178" t="inlineStr">
        <is>
          <t>Föryngringsavverkning</t>
        </is>
      </c>
      <c r="D178" s="1" t="n">
        <v>45839</v>
      </c>
      <c r="E178" s="1" t="n">
        <v>46266</v>
      </c>
      <c r="F178" t="inlineStr">
        <is>
          <t>VÄSTERBOTTENS LÄN</t>
        </is>
      </c>
      <c r="G178" t="inlineStr">
        <is>
          <t>STORUMAN</t>
        </is>
      </c>
      <c r="H178" t="inlineStr">
        <is>
          <t>Sveaskog</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24956-2024</t>
        </is>
      </c>
      <c r="B179" t="inlineStr">
        <is>
          <t>avverkningsanmälan</t>
        </is>
      </c>
      <c r="C179" t="inlineStr">
        <is>
          <t>Föryngringsavverkning</t>
        </is>
      </c>
      <c r="D179" s="1" t="n">
        <v>45461</v>
      </c>
      <c r="E179" s="1" t="n">
        <v>46266</v>
      </c>
      <c r="F179" t="inlineStr">
        <is>
          <t>VÄSTERBOTTENS LÄN</t>
        </is>
      </c>
      <c r="G179" t="inlineStr">
        <is>
          <t>STORUMAN</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46072-2022</t>
        </is>
      </c>
      <c r="B180" t="inlineStr">
        <is>
          <t>avverkningsanmälan</t>
        </is>
      </c>
      <c r="C180" t="inlineStr">
        <is>
          <t>Föryngringsavverkning</t>
        </is>
      </c>
      <c r="D180" s="1" t="n">
        <v>44844</v>
      </c>
      <c r="E180" s="1" t="n">
        <v>46266</v>
      </c>
      <c r="F180" t="inlineStr">
        <is>
          <t>VÄSTERBOTTENS LÄN</t>
        </is>
      </c>
      <c r="G180" t="inlineStr">
        <is>
          <t>STORUMAN</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33881-2025</t>
        </is>
      </c>
      <c r="B181" t="inlineStr">
        <is>
          <t>avverkningsanmälan</t>
        </is>
      </c>
      <c r="C181" t="inlineStr">
        <is>
          <t>Föryngringsavverkning</t>
        </is>
      </c>
      <c r="D181" s="1" t="n">
        <v>45842</v>
      </c>
      <c r="E181" s="1" t="n">
        <v>46266</v>
      </c>
      <c r="F181" t="inlineStr">
        <is>
          <t>VÄSTERBOTTENS LÄN</t>
        </is>
      </c>
      <c r="G181" t="inlineStr">
        <is>
          <t>STORUMAN</t>
        </is>
      </c>
      <c r="H181" t="inlineStr">
        <is>
          <t>Sveaskog</t>
        </is>
      </c>
      <c r="I181" t="n">
        <v>12.9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12002-2022</t>
        </is>
      </c>
      <c r="B182" t="inlineStr">
        <is>
          <t>avverkningsanmälan</t>
        </is>
      </c>
      <c r="C182" t="inlineStr">
        <is>
          <t>Föryngringsavverkning</t>
        </is>
      </c>
      <c r="D182" s="1" t="n">
        <v>44635</v>
      </c>
      <c r="E182" s="1" t="n">
        <v>46266</v>
      </c>
      <c r="F182" t="inlineStr">
        <is>
          <t>VÄSTERBOTTENS LÄN</t>
        </is>
      </c>
      <c r="G182" t="inlineStr">
        <is>
          <t>STORUMAN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56530-2021</t>
        </is>
      </c>
      <c r="B183" t="inlineStr">
        <is>
          <t>avverkningsanmälan</t>
        </is>
      </c>
      <c r="C183" t="inlineStr">
        <is>
          <t>Föryngringsavverkning</t>
        </is>
      </c>
      <c r="D183" s="1" t="n">
        <v>44480</v>
      </c>
      <c r="E183" s="1" t="n">
        <v>46266</v>
      </c>
      <c r="F183" t="inlineStr">
        <is>
          <t>VÄSTERBOTTENS LÄN</t>
        </is>
      </c>
      <c r="G183" t="inlineStr">
        <is>
          <t>STORUMAN</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35752-2025</t>
        </is>
      </c>
      <c r="B184" t="inlineStr">
        <is>
          <t>avverkningsanmälan</t>
        </is>
      </c>
      <c r="C184" t="inlineStr">
        <is>
          <t>Föryngringsavverkning</t>
        </is>
      </c>
      <c r="D184" s="1" t="n">
        <v>45860</v>
      </c>
      <c r="E184" s="1" t="n">
        <v>46266</v>
      </c>
      <c r="F184" t="inlineStr">
        <is>
          <t>VÄSTERBOTTENS LÄN</t>
        </is>
      </c>
      <c r="G184" t="inlineStr">
        <is>
          <t>STORUMAN</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48358-2022</t>
        </is>
      </c>
      <c r="B185" t="inlineStr">
        <is>
          <t>avverkningsanmälan</t>
        </is>
      </c>
      <c r="C185" t="inlineStr">
        <is>
          <t>Föryngringsavverkning</t>
        </is>
      </c>
      <c r="D185" s="1" t="n">
        <v>44858</v>
      </c>
      <c r="E185" s="1" t="n">
        <v>46266</v>
      </c>
      <c r="F185" t="inlineStr">
        <is>
          <t>VÄSTERBOTTENS LÄN</t>
        </is>
      </c>
      <c r="G185" t="inlineStr">
        <is>
          <t>STORUMAN</t>
        </is>
      </c>
      <c r="H185" t="inlineStr">
        <is>
          <t>Sveaskog</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71850-2021</t>
        </is>
      </c>
      <c r="B186" t="inlineStr">
        <is>
          <t>avverkningsanmälan</t>
        </is>
      </c>
      <c r="C186" t="inlineStr">
        <is>
          <t>Föryngringsavverkning</t>
        </is>
      </c>
      <c r="D186" s="1" t="n">
        <v>44543</v>
      </c>
      <c r="E186" s="1" t="n">
        <v>46266</v>
      </c>
      <c r="F186" t="inlineStr">
        <is>
          <t>VÄSTERBOTTENS LÄN</t>
        </is>
      </c>
      <c r="G186" t="inlineStr">
        <is>
          <t>STORUMAN</t>
        </is>
      </c>
      <c r="H186" t="inlineStr">
        <is>
          <t>Holmen skog AB</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1220-2024</t>
        </is>
      </c>
      <c r="B187" t="inlineStr">
        <is>
          <t>avverkningsanmälan</t>
        </is>
      </c>
      <c r="C187" t="inlineStr">
        <is>
          <t>Avverkning för annat ändamål</t>
        </is>
      </c>
      <c r="D187" s="1" t="n">
        <v>45302</v>
      </c>
      <c r="E187" s="1" t="n">
        <v>46266</v>
      </c>
      <c r="F187" t="inlineStr">
        <is>
          <t>VÄSTERBOTTENS LÄN</t>
        </is>
      </c>
      <c r="G187" t="inlineStr">
        <is>
          <t>STORUMAN</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37020-2025</t>
        </is>
      </c>
      <c r="B188" t="inlineStr">
        <is>
          <t>avverkningsanmälan</t>
        </is>
      </c>
      <c r="C188" t="inlineStr">
        <is>
          <t>Föryngringsavverkning</t>
        </is>
      </c>
      <c r="D188" s="1" t="n">
        <v>45874</v>
      </c>
      <c r="E188" s="1" t="n">
        <v>46266</v>
      </c>
      <c r="F188" t="inlineStr">
        <is>
          <t>VÄSTERBOTTENS LÄN</t>
        </is>
      </c>
      <c r="G188" t="inlineStr">
        <is>
          <t>STORUMAN</t>
        </is>
      </c>
      <c r="I188" t="n">
        <v>13.3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36951-2025</t>
        </is>
      </c>
      <c r="B189" t="inlineStr">
        <is>
          <t>avverkningsanmälan</t>
        </is>
      </c>
      <c r="C189" t="inlineStr">
        <is>
          <t>Föryngringsavverkning</t>
        </is>
      </c>
      <c r="D189" s="1" t="n">
        <v>45874</v>
      </c>
      <c r="E189" s="1" t="n">
        <v>46266</v>
      </c>
      <c r="F189" t="inlineStr">
        <is>
          <t>VÄSTERBOTTENS LÄN</t>
        </is>
      </c>
      <c r="G189" t="inlineStr">
        <is>
          <t>STORUMAN</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36828-2025</t>
        </is>
      </c>
      <c r="B190" t="inlineStr">
        <is>
          <t>avverkningsanmälan</t>
        </is>
      </c>
      <c r="C190" t="inlineStr">
        <is>
          <t>Föryngringsavverkning</t>
        </is>
      </c>
      <c r="D190" s="1" t="n">
        <v>45874</v>
      </c>
      <c r="E190" s="1" t="n">
        <v>46266</v>
      </c>
      <c r="F190" t="inlineStr">
        <is>
          <t>VÄSTERBOTTENS LÄN</t>
        </is>
      </c>
      <c r="G190" t="inlineStr">
        <is>
          <t>STORUMAN</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37035-2025</t>
        </is>
      </c>
      <c r="B191" t="inlineStr">
        <is>
          <t>avverkningsanmälan</t>
        </is>
      </c>
      <c r="C191" t="inlineStr">
        <is>
          <t>Föryngringsavverkning</t>
        </is>
      </c>
      <c r="D191" s="1" t="n">
        <v>45875</v>
      </c>
      <c r="E191" s="1" t="n">
        <v>46266</v>
      </c>
      <c r="F191" t="inlineStr">
        <is>
          <t>VÄSTERBOTTENS LÄN</t>
        </is>
      </c>
      <c r="G191" t="inlineStr">
        <is>
          <t>STORUMAN</t>
        </is>
      </c>
      <c r="I191" t="n">
        <v>14.8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36922-2025</t>
        </is>
      </c>
      <c r="B192" t="inlineStr">
        <is>
          <t>avverkningsanmälan</t>
        </is>
      </c>
      <c r="C192" t="inlineStr">
        <is>
          <t>Föryngringsavverkning</t>
        </is>
      </c>
      <c r="D192" s="1" t="n">
        <v>45874</v>
      </c>
      <c r="E192" s="1" t="n">
        <v>46266</v>
      </c>
      <c r="F192" t="inlineStr">
        <is>
          <t>VÄSTERBOTTENS LÄN</t>
        </is>
      </c>
      <c r="G192" t="inlineStr">
        <is>
          <t>STORUMAN</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36942-2025</t>
        </is>
      </c>
      <c r="B193" t="inlineStr">
        <is>
          <t>avverkningsanmälan</t>
        </is>
      </c>
      <c r="C193" t="inlineStr">
        <is>
          <t>Föryngringsavverkning</t>
        </is>
      </c>
      <c r="D193" s="1" t="n">
        <v>45874</v>
      </c>
      <c r="E193" s="1" t="n">
        <v>46266</v>
      </c>
      <c r="F193" t="inlineStr">
        <is>
          <t>VÄSTERBOTTENS LÄN</t>
        </is>
      </c>
      <c r="G193" t="inlineStr">
        <is>
          <t>STORUMAN</t>
        </is>
      </c>
      <c r="I193" t="n">
        <v>14.4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37239-2025</t>
        </is>
      </c>
      <c r="B194" t="inlineStr">
        <is>
          <t>avverkningsanmälan</t>
        </is>
      </c>
      <c r="C194" t="inlineStr">
        <is>
          <t>Föryngringsavverkning</t>
        </is>
      </c>
      <c r="D194" s="1" t="n">
        <v>45876</v>
      </c>
      <c r="E194" s="1" t="n">
        <v>46266</v>
      </c>
      <c r="F194" t="inlineStr">
        <is>
          <t>VÄSTERBOTTENS LÄN</t>
        </is>
      </c>
      <c r="G194" t="inlineStr">
        <is>
          <t>STORUMAN</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12359-2023</t>
        </is>
      </c>
      <c r="B195" t="inlineStr">
        <is>
          <t>avverkningsanmälan</t>
        </is>
      </c>
      <c r="C195" t="inlineStr">
        <is>
          <t>Föryngringsavverkning</t>
        </is>
      </c>
      <c r="D195" s="1" t="n">
        <v>44995</v>
      </c>
      <c r="E195" s="1" t="n">
        <v>46266</v>
      </c>
      <c r="F195" t="inlineStr">
        <is>
          <t>VÄSTERBOTTENS LÄN</t>
        </is>
      </c>
      <c r="G195" t="inlineStr">
        <is>
          <t>STORUMAN</t>
        </is>
      </c>
      <c r="H195" t="inlineStr">
        <is>
          <t>Allmännings- och besparingsskogar</t>
        </is>
      </c>
      <c r="I195" t="n">
        <v>449.4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51796-2024</t>
        </is>
      </c>
      <c r="B196" t="inlineStr">
        <is>
          <t>avverkningsanmälan</t>
        </is>
      </c>
      <c r="C196" t="inlineStr">
        <is>
          <t>Föryngringsavverkning</t>
        </is>
      </c>
      <c r="D196" s="1" t="n">
        <v>45604</v>
      </c>
      <c r="E196" s="1" t="n">
        <v>46266</v>
      </c>
      <c r="F196" t="inlineStr">
        <is>
          <t>VÄSTERBOTTENS LÄN</t>
        </is>
      </c>
      <c r="G196" t="inlineStr">
        <is>
          <t>STORUMAN</t>
        </is>
      </c>
      <c r="H196" t="inlineStr">
        <is>
          <t>Allmännings- och besparingsskogar</t>
        </is>
      </c>
      <c r="I196" t="n">
        <v>37.6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37429-2022</t>
        </is>
      </c>
      <c r="B197" t="inlineStr">
        <is>
          <t>avverkningsanmälan</t>
        </is>
      </c>
      <c r="C197" t="inlineStr">
        <is>
          <t>Föryngringsavverkning</t>
        </is>
      </c>
      <c r="D197" s="1" t="n">
        <v>44809</v>
      </c>
      <c r="E197" s="1" t="n">
        <v>46266</v>
      </c>
      <c r="F197" t="inlineStr">
        <is>
          <t>VÄSTERBOTTENS LÄN</t>
        </is>
      </c>
      <c r="G197" t="inlineStr">
        <is>
          <t>STORUMAN</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28019-2023</t>
        </is>
      </c>
      <c r="B198" t="inlineStr">
        <is>
          <t>avverkningsanmälan</t>
        </is>
      </c>
      <c r="C198" t="inlineStr">
        <is>
          <t>Föryngringsavverkning</t>
        </is>
      </c>
      <c r="D198" s="1" t="n">
        <v>45098</v>
      </c>
      <c r="E198" s="1" t="n">
        <v>46266</v>
      </c>
      <c r="F198" t="inlineStr">
        <is>
          <t>VÄSTERBOTTENS LÄN</t>
        </is>
      </c>
      <c r="G198" t="inlineStr">
        <is>
          <t>STORUMAN</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44217-2023</t>
        </is>
      </c>
      <c r="B199" t="inlineStr">
        <is>
          <t>avverkningsanmälan</t>
        </is>
      </c>
      <c r="C199" t="inlineStr">
        <is>
          <t>Föryngringsavverkning</t>
        </is>
      </c>
      <c r="D199" s="1" t="n">
        <v>45183</v>
      </c>
      <c r="E199" s="1" t="n">
        <v>46266</v>
      </c>
      <c r="F199" t="inlineStr">
        <is>
          <t>VÄSTERBOTTENS LÄN</t>
        </is>
      </c>
      <c r="G199" t="inlineStr">
        <is>
          <t>STORUMAN</t>
        </is>
      </c>
      <c r="I199" t="n">
        <v>14.3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62624-2023</t>
        </is>
      </c>
      <c r="B200" t="inlineStr">
        <is>
          <t>avverkningsanmälan</t>
        </is>
      </c>
      <c r="C200" t="inlineStr">
        <is>
          <t>Föryngringsavverkning</t>
        </is>
      </c>
      <c r="D200" s="1" t="n">
        <v>45271</v>
      </c>
      <c r="E200" s="1" t="n">
        <v>46266</v>
      </c>
      <c r="F200" t="inlineStr">
        <is>
          <t>VÄSTERBOTTENS LÄN</t>
        </is>
      </c>
      <c r="G200" t="inlineStr">
        <is>
          <t>STORUMAN</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53143-2024</t>
        </is>
      </c>
      <c r="B201" t="inlineStr">
        <is>
          <t>avverkningsanmälan</t>
        </is>
      </c>
      <c r="C201" t="inlineStr">
        <is>
          <t>Föryngringsavverkning</t>
        </is>
      </c>
      <c r="D201" s="1" t="n">
        <v>45611</v>
      </c>
      <c r="E201" s="1" t="n">
        <v>46266</v>
      </c>
      <c r="F201" t="inlineStr">
        <is>
          <t>VÄSTERBOTTENS LÄN</t>
        </is>
      </c>
      <c r="G201" t="inlineStr">
        <is>
          <t>STORUMAN</t>
        </is>
      </c>
      <c r="H201" t="inlineStr">
        <is>
          <t>Allmännings- och besparingsskogar</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53148-2024</t>
        </is>
      </c>
      <c r="B202" t="inlineStr">
        <is>
          <t>avverkningsanmälan</t>
        </is>
      </c>
      <c r="C202" t="inlineStr">
        <is>
          <t>Föryngringsavverkning</t>
        </is>
      </c>
      <c r="D202" s="1" t="n">
        <v>45611</v>
      </c>
      <c r="E202" s="1" t="n">
        <v>46266</v>
      </c>
      <c r="F202" t="inlineStr">
        <is>
          <t>VÄSTERBOTTENS LÄN</t>
        </is>
      </c>
      <c r="G202" t="inlineStr">
        <is>
          <t>STORUMAN</t>
        </is>
      </c>
      <c r="H202" t="inlineStr">
        <is>
          <t>Allmännings- och besparingsskogar</t>
        </is>
      </c>
      <c r="I202" t="n">
        <v>117.5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41847-2024</t>
        </is>
      </c>
      <c r="B203" t="inlineStr">
        <is>
          <t>avverkningsanmälan</t>
        </is>
      </c>
      <c r="C203" t="inlineStr">
        <is>
          <t>Föryngringsavverkning</t>
        </is>
      </c>
      <c r="D203" s="1" t="n">
        <v>45561</v>
      </c>
      <c r="E203" s="1" t="n">
        <v>46266</v>
      </c>
      <c r="F203" t="inlineStr">
        <is>
          <t>VÄSTERBOTTENS LÄN</t>
        </is>
      </c>
      <c r="G203" t="inlineStr">
        <is>
          <t>STORUMAN</t>
        </is>
      </c>
      <c r="H203" t="inlineStr">
        <is>
          <t>Sveaskog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55378-2025</t>
        </is>
      </c>
      <c r="B204" t="inlineStr">
        <is>
          <t>avverkningsanmälan</t>
        </is>
      </c>
      <c r="C204" t="inlineStr">
        <is>
          <t>Föryngringsavverkning</t>
        </is>
      </c>
      <c r="D204" s="1" t="n">
        <v>45971</v>
      </c>
      <c r="E204" s="1" t="n">
        <v>46266</v>
      </c>
      <c r="F204" t="inlineStr">
        <is>
          <t>VÄSTERBOTTENS LÄN</t>
        </is>
      </c>
      <c r="G204" t="inlineStr">
        <is>
          <t>STORUMAN</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55230-2025</t>
        </is>
      </c>
      <c r="B205" t="inlineStr">
        <is>
          <t>avverkningsanmälan</t>
        </is>
      </c>
      <c r="C205" t="inlineStr">
        <is>
          <t>Föryngringsavverkning</t>
        </is>
      </c>
      <c r="D205" s="1" t="n">
        <v>45968</v>
      </c>
      <c r="E205" s="1" t="n">
        <v>46266</v>
      </c>
      <c r="F205" t="inlineStr">
        <is>
          <t>VÄSTERBOTTENS LÄN</t>
        </is>
      </c>
      <c r="G205" t="inlineStr">
        <is>
          <t>STORUMAN</t>
        </is>
      </c>
      <c r="H205" t="inlineStr">
        <is>
          <t>Sveaskog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57235-2025</t>
        </is>
      </c>
      <c r="B206" t="inlineStr">
        <is>
          <t>avverkningsanmälan</t>
        </is>
      </c>
      <c r="C206" t="inlineStr">
        <is>
          <t>Föryngringsavverkning</t>
        </is>
      </c>
      <c r="D206" s="1" t="n">
        <v>45979</v>
      </c>
      <c r="E206" s="1" t="n">
        <v>46266</v>
      </c>
      <c r="F206" t="inlineStr">
        <is>
          <t>VÄSTERBOTTENS LÄN</t>
        </is>
      </c>
      <c r="G206" t="inlineStr">
        <is>
          <t>STORUMAN</t>
        </is>
      </c>
      <c r="H206" t="inlineStr">
        <is>
          <t>Sveaskog</t>
        </is>
      </c>
      <c r="I206" t="n">
        <v>22.2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57123-2025</t>
        </is>
      </c>
      <c r="B207" t="inlineStr">
        <is>
          <t>avverkningsanmälan</t>
        </is>
      </c>
      <c r="C207" t="inlineStr">
        <is>
          <t>Föryngringsavverkning</t>
        </is>
      </c>
      <c r="D207" s="1" t="n">
        <v>45979</v>
      </c>
      <c r="E207" s="1" t="n">
        <v>46266</v>
      </c>
      <c r="F207" t="inlineStr">
        <is>
          <t>VÄSTERBOTTENS LÄN</t>
        </is>
      </c>
      <c r="G207" t="inlineStr">
        <is>
          <t>STORUMAN</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36713-2024</t>
        </is>
      </c>
      <c r="B208" t="inlineStr">
        <is>
          <t>avverkningsanmälan</t>
        </is>
      </c>
      <c r="C208" t="inlineStr">
        <is>
          <t>Avverkning för att bevara och utveckla /försöksver</t>
        </is>
      </c>
      <c r="D208" s="1" t="n">
        <v>45537</v>
      </c>
      <c r="E208" s="1" t="n">
        <v>46266</v>
      </c>
      <c r="F208" t="inlineStr">
        <is>
          <t>VÄSTERBOTTENS LÄN</t>
        </is>
      </c>
      <c r="G208" t="inlineStr">
        <is>
          <t>STORUMAN</t>
        </is>
      </c>
      <c r="H208" t="inlineStr">
        <is>
          <t>Holmen skog AB</t>
        </is>
      </c>
      <c r="I208" t="n">
        <v>10.3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57579-2025</t>
        </is>
      </c>
      <c r="B209" t="inlineStr">
        <is>
          <t>avverkningsanmälan</t>
        </is>
      </c>
      <c r="C209" t="inlineStr">
        <is>
          <t>Föryngringsavverkning</t>
        </is>
      </c>
      <c r="D209" s="1" t="n">
        <v>45980</v>
      </c>
      <c r="E209" s="1" t="n">
        <v>46266</v>
      </c>
      <c r="F209" t="inlineStr">
        <is>
          <t>VÄSTERBOTTENS LÄN</t>
        </is>
      </c>
      <c r="G209" t="inlineStr">
        <is>
          <t>STORUMAN</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57577-2025</t>
        </is>
      </c>
      <c r="B210" t="inlineStr">
        <is>
          <t>avverkningsanmälan</t>
        </is>
      </c>
      <c r="C210" t="inlineStr">
        <is>
          <t>Föryngringsavverkning</t>
        </is>
      </c>
      <c r="D210" s="1" t="n">
        <v>45980</v>
      </c>
      <c r="E210" s="1" t="n">
        <v>46266</v>
      </c>
      <c r="F210" t="inlineStr">
        <is>
          <t>VÄSTERBOTTENS LÄN</t>
        </is>
      </c>
      <c r="G210" t="inlineStr">
        <is>
          <t>STORUMAN</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57578-2025</t>
        </is>
      </c>
      <c r="B211" t="inlineStr">
        <is>
          <t>avverkningsanmälan</t>
        </is>
      </c>
      <c r="C211" t="inlineStr">
        <is>
          <t>Föryngringsavverkning</t>
        </is>
      </c>
      <c r="D211" s="1" t="n">
        <v>45980</v>
      </c>
      <c r="E211" s="1" t="n">
        <v>46266</v>
      </c>
      <c r="F211" t="inlineStr">
        <is>
          <t>VÄSTERBOTTENS LÄN</t>
        </is>
      </c>
      <c r="G211" t="inlineStr">
        <is>
          <t>STORUMAN</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58264-2025</t>
        </is>
      </c>
      <c r="B212" t="inlineStr">
        <is>
          <t>avverkningsanmälan</t>
        </is>
      </c>
      <c r="C212" t="inlineStr">
        <is>
          <t>Föryngringsavverkning</t>
        </is>
      </c>
      <c r="D212" s="1" t="n">
        <v>45985</v>
      </c>
      <c r="E212" s="1" t="n">
        <v>46266</v>
      </c>
      <c r="F212" t="inlineStr">
        <is>
          <t>VÄSTERBOTTENS LÄN</t>
        </is>
      </c>
      <c r="G212" t="inlineStr">
        <is>
          <t>STORUMAN</t>
        </is>
      </c>
      <c r="H212" t="inlineStr">
        <is>
          <t>Övriga statliga verk och myndigheter</t>
        </is>
      </c>
      <c r="I212" t="n">
        <v>102.4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58218-2025</t>
        </is>
      </c>
      <c r="B213" t="inlineStr">
        <is>
          <t>avverkningsanmälan</t>
        </is>
      </c>
      <c r="C213" t="inlineStr">
        <is>
          <t>Avverkning för att bevara och utveckla /försöksver</t>
        </is>
      </c>
      <c r="D213" s="1" t="n">
        <v>45985</v>
      </c>
      <c r="E213" s="1" t="n">
        <v>46266</v>
      </c>
      <c r="F213" t="inlineStr">
        <is>
          <t>VÄSTERBOTTENS LÄN</t>
        </is>
      </c>
      <c r="G213" t="inlineStr">
        <is>
          <t>STORUMAN</t>
        </is>
      </c>
      <c r="I213" t="n">
        <v>19.9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58222-2025</t>
        </is>
      </c>
      <c r="B214" t="inlineStr">
        <is>
          <t>avverkningsanmälan</t>
        </is>
      </c>
      <c r="C214" t="inlineStr">
        <is>
          <t>Föryngringsavverkning</t>
        </is>
      </c>
      <c r="D214" s="1" t="n">
        <v>45985</v>
      </c>
      <c r="E214" s="1" t="n">
        <v>46266</v>
      </c>
      <c r="F214" t="inlineStr">
        <is>
          <t>VÄSTERBOTTENS LÄN</t>
        </is>
      </c>
      <c r="G214" t="inlineStr">
        <is>
          <t>STORUMAN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48762-2024</t>
        </is>
      </c>
      <c r="B215" t="inlineStr">
        <is>
          <t>avverkningsanmälan</t>
        </is>
      </c>
      <c r="C215" t="inlineStr">
        <is>
          <t>Föryngringsavverkning</t>
        </is>
      </c>
      <c r="D215" s="1" t="n">
        <v>45593</v>
      </c>
      <c r="E215" s="1" t="n">
        <v>46266</v>
      </c>
      <c r="F215" t="inlineStr">
        <is>
          <t>VÄSTERBOTTENS LÄN</t>
        </is>
      </c>
      <c r="G215" t="inlineStr">
        <is>
          <t>STORUMAN</t>
        </is>
      </c>
      <c r="I215" t="n">
        <v>17.4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43227-2023</t>
        </is>
      </c>
      <c r="B216" t="inlineStr">
        <is>
          <t>avverkningsanmälan</t>
        </is>
      </c>
      <c r="C216" t="inlineStr">
        <is>
          <t>Föryngringsavverkning</t>
        </is>
      </c>
      <c r="D216" s="1" t="n">
        <v>45180</v>
      </c>
      <c r="E216" s="1" t="n">
        <v>46266</v>
      </c>
      <c r="F216" t="inlineStr">
        <is>
          <t>VÄSTERBOTTENS LÄN</t>
        </is>
      </c>
      <c r="G216" t="inlineStr">
        <is>
          <t>STORUMAN</t>
        </is>
      </c>
      <c r="I216" t="n">
        <v>41.1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59932-2025</t>
        </is>
      </c>
      <c r="B217" t="inlineStr">
        <is>
          <t>avverkningsanmälan</t>
        </is>
      </c>
      <c r="C217" t="inlineStr">
        <is>
          <t>Avverkning för annat ändamål</t>
        </is>
      </c>
      <c r="D217" s="1" t="n">
        <v>45993</v>
      </c>
      <c r="E217" s="1" t="n">
        <v>46266</v>
      </c>
      <c r="F217" t="inlineStr">
        <is>
          <t>VÄSTERBOTTENS LÄN</t>
        </is>
      </c>
      <c r="G217" t="inlineStr">
        <is>
          <t>STORUMAN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48761-2024</t>
        </is>
      </c>
      <c r="B218" t="inlineStr">
        <is>
          <t>avverkningsanmälan</t>
        </is>
      </c>
      <c r="C218" t="inlineStr">
        <is>
          <t>Föryngringsavverkning</t>
        </is>
      </c>
      <c r="D218" s="1" t="n">
        <v>45593</v>
      </c>
      <c r="E218" s="1" t="n">
        <v>46266</v>
      </c>
      <c r="F218" t="inlineStr">
        <is>
          <t>VÄSTERBOTTENS LÄN</t>
        </is>
      </c>
      <c r="G218" t="inlineStr">
        <is>
          <t>STORUMAN</t>
        </is>
      </c>
      <c r="I218" t="n">
        <v>35.7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60336-2025</t>
        </is>
      </c>
      <c r="B219" t="inlineStr">
        <is>
          <t>avverkningsanmälan</t>
        </is>
      </c>
      <c r="C219" t="inlineStr">
        <is>
          <t>Föryngringsavverkning</t>
        </is>
      </c>
      <c r="D219" s="1" t="n">
        <v>45994</v>
      </c>
      <c r="E219" s="1" t="n">
        <v>46266</v>
      </c>
      <c r="F219" t="inlineStr">
        <is>
          <t>VÄSTERBOTTENS LÄN</t>
        </is>
      </c>
      <c r="G219" t="inlineStr">
        <is>
          <t>STORUMAN</t>
        </is>
      </c>
      <c r="I219" t="n">
        <v>28.6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60341-2025</t>
        </is>
      </c>
      <c r="B220" t="inlineStr">
        <is>
          <t>avverkningsanmälan</t>
        </is>
      </c>
      <c r="C220" t="inlineStr">
        <is>
          <t>Föryngringsavverkning</t>
        </is>
      </c>
      <c r="D220" s="1" t="n">
        <v>45994</v>
      </c>
      <c r="E220" s="1" t="n">
        <v>46266</v>
      </c>
      <c r="F220" t="inlineStr">
        <is>
          <t>VÄSTERBOTTENS LÄN</t>
        </is>
      </c>
      <c r="G220" t="inlineStr">
        <is>
          <t>STORUMAN</t>
        </is>
      </c>
      <c r="I220" t="n">
        <v>24.6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24932-2024</t>
        </is>
      </c>
      <c r="B221" t="inlineStr">
        <is>
          <t>avverkningsanmälan</t>
        </is>
      </c>
      <c r="C221" t="inlineStr">
        <is>
          <t>Föryngringsavverkning</t>
        </is>
      </c>
      <c r="D221" s="1" t="n">
        <v>45461</v>
      </c>
      <c r="E221" s="1" t="n">
        <v>46266</v>
      </c>
      <c r="F221" t="inlineStr">
        <is>
          <t>VÄSTERBOTTENS LÄN</t>
        </is>
      </c>
      <c r="G221" t="inlineStr">
        <is>
          <t>STORUMAN</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25968-2024</t>
        </is>
      </c>
      <c r="B222" t="inlineStr">
        <is>
          <t>avverkningsanmälan</t>
        </is>
      </c>
      <c r="C222" t="inlineStr">
        <is>
          <t>Föryngringsavverkning</t>
        </is>
      </c>
      <c r="D222" s="1" t="n">
        <v>45467</v>
      </c>
      <c r="E222" s="1" t="n">
        <v>46266</v>
      </c>
      <c r="F222" t="inlineStr">
        <is>
          <t>VÄSTERBOTTENS LÄN</t>
        </is>
      </c>
      <c r="G222" t="inlineStr">
        <is>
          <t>STORUMAN</t>
        </is>
      </c>
      <c r="H222" t="inlineStr">
        <is>
          <t>Sveaskog</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31741-2022</t>
        </is>
      </c>
      <c r="B223" t="inlineStr">
        <is>
          <t>avverkningsanmälan</t>
        </is>
      </c>
      <c r="C223" t="inlineStr">
        <is>
          <t>Föryngringsavverkning</t>
        </is>
      </c>
      <c r="D223" s="1" t="n">
        <v>44776</v>
      </c>
      <c r="E223" s="1" t="n">
        <v>46266</v>
      </c>
      <c r="F223" t="inlineStr">
        <is>
          <t>VÄSTERBOTTENS LÄN</t>
        </is>
      </c>
      <c r="G223" t="inlineStr">
        <is>
          <t>STORUMAN</t>
        </is>
      </c>
      <c r="H223" t="inlineStr">
        <is>
          <t>Sveaskog</t>
        </is>
      </c>
      <c r="I223" t="n">
        <v>13.3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60916-2025</t>
        </is>
      </c>
      <c r="B224" t="inlineStr">
        <is>
          <t>avverkningsanmälan</t>
        </is>
      </c>
      <c r="C224" t="inlineStr">
        <is>
          <t>Avverkning för annat ändamål</t>
        </is>
      </c>
      <c r="D224" s="1" t="n">
        <v>45999</v>
      </c>
      <c r="E224" s="1" t="n">
        <v>46266</v>
      </c>
      <c r="F224" t="inlineStr">
        <is>
          <t>VÄSTERBOTTENS LÄN</t>
        </is>
      </c>
      <c r="G224" t="inlineStr">
        <is>
          <t>STORUMAN</t>
        </is>
      </c>
      <c r="H224" t="inlineStr">
        <is>
          <t>Naturvårdsverket</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60918-2025</t>
        </is>
      </c>
      <c r="B225" t="inlineStr">
        <is>
          <t>avverkningsanmälan</t>
        </is>
      </c>
      <c r="C225" t="inlineStr">
        <is>
          <t>Avverkning för annat ändamål</t>
        </is>
      </c>
      <c r="D225" s="1" t="n">
        <v>45999</v>
      </c>
      <c r="E225" s="1" t="n">
        <v>46266</v>
      </c>
      <c r="F225" t="inlineStr">
        <is>
          <t>VÄSTERBOTTENS LÄN</t>
        </is>
      </c>
      <c r="G225" t="inlineStr">
        <is>
          <t>STORUMAN</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61217-2025</t>
        </is>
      </c>
      <c r="B226" t="inlineStr">
        <is>
          <t>avverkningsanmälan</t>
        </is>
      </c>
      <c r="C226" t="inlineStr">
        <is>
          <t>Föryngringsavverkning</t>
        </is>
      </c>
      <c r="D226" s="1" t="n">
        <v>46000</v>
      </c>
      <c r="E226" s="1" t="n">
        <v>46266</v>
      </c>
      <c r="F226" t="inlineStr">
        <is>
          <t>VÄSTERBOTTENS LÄN</t>
        </is>
      </c>
      <c r="G226" t="inlineStr">
        <is>
          <t>STORUMAN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61220-2025</t>
        </is>
      </c>
      <c r="B227" t="inlineStr">
        <is>
          <t>avverkningsanmälan</t>
        </is>
      </c>
      <c r="C227" t="inlineStr">
        <is>
          <t>Föryngringsavverkning</t>
        </is>
      </c>
      <c r="D227" s="1" t="n">
        <v>46000</v>
      </c>
      <c r="E227" s="1" t="n">
        <v>46266</v>
      </c>
      <c r="F227" t="inlineStr">
        <is>
          <t>VÄSTERBOTTENS LÄN</t>
        </is>
      </c>
      <c r="G227" t="inlineStr">
        <is>
          <t>STORUMAN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61199-2025</t>
        </is>
      </c>
      <c r="B228" t="inlineStr">
        <is>
          <t>avverkningsanmälan</t>
        </is>
      </c>
      <c r="C228" t="inlineStr">
        <is>
          <t>Föryngringsavverkning</t>
        </is>
      </c>
      <c r="D228" s="1" t="n">
        <v>46000</v>
      </c>
      <c r="E228" s="1" t="n">
        <v>46266</v>
      </c>
      <c r="F228" t="inlineStr">
        <is>
          <t>VÄSTERBOTTENS LÄN</t>
        </is>
      </c>
      <c r="G228" t="inlineStr">
        <is>
          <t>STORUMAN</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61208-2025</t>
        </is>
      </c>
      <c r="B229" t="inlineStr">
        <is>
          <t>avverkningsanmälan</t>
        </is>
      </c>
      <c r="C229" t="inlineStr">
        <is>
          <t>Föryngringsavverkning</t>
        </is>
      </c>
      <c r="D229" s="1" t="n">
        <v>46000</v>
      </c>
      <c r="E229" s="1" t="n">
        <v>46266</v>
      </c>
      <c r="F229" t="inlineStr">
        <is>
          <t>VÄSTERBOTTENS LÄN</t>
        </is>
      </c>
      <c r="G229" t="inlineStr">
        <is>
          <t>STORUMAN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58852-2024</t>
        </is>
      </c>
      <c r="B230" t="inlineStr">
        <is>
          <t>avverkningsanmälan</t>
        </is>
      </c>
      <c r="C230" t="inlineStr">
        <is>
          <t>Föryngringsavverkning</t>
        </is>
      </c>
      <c r="D230" s="1" t="n">
        <v>45635</v>
      </c>
      <c r="E230" s="1" t="n">
        <v>46266</v>
      </c>
      <c r="F230" t="inlineStr">
        <is>
          <t>VÄSTERBOTTENS LÄN</t>
        </is>
      </c>
      <c r="G230" t="inlineStr">
        <is>
          <t>STORUMAN</t>
        </is>
      </c>
      <c r="H230" t="inlineStr">
        <is>
          <t>Allmännings- och besparingsskogar</t>
        </is>
      </c>
      <c r="I230" t="n">
        <v>455.1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57107-2023</t>
        </is>
      </c>
      <c r="B231" t="inlineStr">
        <is>
          <t>avverkningsanmälan</t>
        </is>
      </c>
      <c r="C231" t="inlineStr">
        <is>
          <t>Föryngringsavverkning</t>
        </is>
      </c>
      <c r="D231" s="1" t="n">
        <v>45239</v>
      </c>
      <c r="E231" s="1" t="n">
        <v>46266</v>
      </c>
      <c r="F231" t="inlineStr">
        <is>
          <t>VÄSTERBOTTENS LÄN</t>
        </is>
      </c>
      <c r="G231" t="inlineStr">
        <is>
          <t>STORUMAN</t>
        </is>
      </c>
      <c r="I231" t="n">
        <v>29.9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58918-2024</t>
        </is>
      </c>
      <c r="B232" t="inlineStr">
        <is>
          <t>avverkningsanmälan</t>
        </is>
      </c>
      <c r="C232" t="inlineStr">
        <is>
          <t>Föryngringsavverkning</t>
        </is>
      </c>
      <c r="D232" s="1" t="n">
        <v>45635</v>
      </c>
      <c r="E232" s="1" t="n">
        <v>46266</v>
      </c>
      <c r="F232" t="inlineStr">
        <is>
          <t>VÄSTERBOTTENS LÄN</t>
        </is>
      </c>
      <c r="G232" t="inlineStr">
        <is>
          <t>STORUMAN</t>
        </is>
      </c>
      <c r="H232" t="inlineStr">
        <is>
          <t>Allmännings- och besparingsskogar</t>
        </is>
      </c>
      <c r="I232" t="n">
        <v>75.59999999999999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28957-2023</t>
        </is>
      </c>
      <c r="B233" t="inlineStr">
        <is>
          <t>avverkningsanmälan</t>
        </is>
      </c>
      <c r="C233" t="inlineStr">
        <is>
          <t>Avverkning för annat ändamål</t>
        </is>
      </c>
      <c r="D233" s="1" t="n">
        <v>45104</v>
      </c>
      <c r="E233" s="1" t="n">
        <v>46266</v>
      </c>
      <c r="F233" t="inlineStr">
        <is>
          <t>VÄSTERBOTTENS LÄN</t>
        </is>
      </c>
      <c r="G233" t="inlineStr">
        <is>
          <t>STORUMAN</t>
        </is>
      </c>
      <c r="H233" t="inlineStr">
        <is>
          <t>Sveaskog</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57962-2024</t>
        </is>
      </c>
      <c r="B234" t="inlineStr">
        <is>
          <t>avverkningsanmälan</t>
        </is>
      </c>
      <c r="C234" t="inlineStr">
        <is>
          <t>Föryngringsavverkning</t>
        </is>
      </c>
      <c r="D234" s="1" t="n">
        <v>45631</v>
      </c>
      <c r="E234" s="1" t="n">
        <v>46266</v>
      </c>
      <c r="F234" t="inlineStr">
        <is>
          <t>VÄSTERBOTTENS LÄN</t>
        </is>
      </c>
      <c r="G234" t="inlineStr">
        <is>
          <t>STORUMAN</t>
        </is>
      </c>
      <c r="H234" t="inlineStr">
        <is>
          <t>Allmännings- och besparingsskogar</t>
        </is>
      </c>
      <c r="I234" t="n">
        <v>855.7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62800-2025</t>
        </is>
      </c>
      <c r="B235" t="inlineStr">
        <is>
          <t>avverkningsanmälan</t>
        </is>
      </c>
      <c r="C235" t="inlineStr">
        <is>
          <t>Föryngringsavverkning</t>
        </is>
      </c>
      <c r="D235" s="1" t="n">
        <v>46008</v>
      </c>
      <c r="E235" s="1" t="n">
        <v>46266</v>
      </c>
      <c r="F235" t="inlineStr">
        <is>
          <t>VÄSTERBOTTENS LÄN</t>
        </is>
      </c>
      <c r="G235" t="inlineStr">
        <is>
          <t>STORUMAN</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5898-2022</t>
        </is>
      </c>
      <c r="B236" t="inlineStr">
        <is>
          <t>avverkningsanmälan</t>
        </is>
      </c>
      <c r="C236" t="inlineStr">
        <is>
          <t>Föryngringsavverkning</t>
        </is>
      </c>
      <c r="D236" s="1" t="n">
        <v>44596</v>
      </c>
      <c r="E236" s="1" t="n">
        <v>46266</v>
      </c>
      <c r="F236" t="inlineStr">
        <is>
          <t>VÄSTERBOTTENS LÄN</t>
        </is>
      </c>
      <c r="G236" t="inlineStr">
        <is>
          <t>STORUMAN</t>
        </is>
      </c>
      <c r="I236" t="n">
        <v>20.2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44203-2023</t>
        </is>
      </c>
      <c r="B237" t="inlineStr">
        <is>
          <t>avverkningsanmälan</t>
        </is>
      </c>
      <c r="C237" t="inlineStr">
        <is>
          <t>Föryngringsavverkning</t>
        </is>
      </c>
      <c r="D237" s="1" t="n">
        <v>45183</v>
      </c>
      <c r="E237" s="1" t="n">
        <v>46266</v>
      </c>
      <c r="F237" t="inlineStr">
        <is>
          <t>VÄSTERBOTTENS LÄN</t>
        </is>
      </c>
      <c r="G237" t="inlineStr">
        <is>
          <t>STORUMAN</t>
        </is>
      </c>
      <c r="I237" t="n">
        <v>33.7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51366-2023</t>
        </is>
      </c>
      <c r="B238" t="inlineStr">
        <is>
          <t>avverkningsanmälan</t>
        </is>
      </c>
      <c r="C238" t="inlineStr">
        <is>
          <t>Avverkning för annat ändamål</t>
        </is>
      </c>
      <c r="D238" s="1" t="n">
        <v>45219</v>
      </c>
      <c r="E238" s="1" t="n">
        <v>46266</v>
      </c>
      <c r="F238" t="inlineStr">
        <is>
          <t>VÄSTERBOTTENS LÄN</t>
        </is>
      </c>
      <c r="G238" t="inlineStr">
        <is>
          <t>STORUMAN</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58787-2024</t>
        </is>
      </c>
      <c r="B239" t="inlineStr">
        <is>
          <t>avverkningsanmälan</t>
        </is>
      </c>
      <c r="C239" t="inlineStr">
        <is>
          <t>Föryngringsavverkning</t>
        </is>
      </c>
      <c r="D239" s="1" t="n">
        <v>45635</v>
      </c>
      <c r="E239" s="1" t="n">
        <v>46266</v>
      </c>
      <c r="F239" t="inlineStr">
        <is>
          <t>VÄSTERBOTTENS LÄN</t>
        </is>
      </c>
      <c r="G239" t="inlineStr">
        <is>
          <t>STORUMAN</t>
        </is>
      </c>
      <c r="I239" t="n">
        <v>17.4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44930-2025</t>
        </is>
      </c>
      <c r="B240" t="inlineStr">
        <is>
          <t>avverkningsanmälan</t>
        </is>
      </c>
      <c r="C240" t="inlineStr">
        <is>
          <t>Avverkning för annat ändamål</t>
        </is>
      </c>
      <c r="D240" s="1" t="n">
        <v>45918</v>
      </c>
      <c r="E240" s="1" t="n">
        <v>46266</v>
      </c>
      <c r="F240" t="inlineStr">
        <is>
          <t>VÄSTERBOTTENS LÄN</t>
        </is>
      </c>
      <c r="G240" t="inlineStr">
        <is>
          <t>STORUMAN</t>
        </is>
      </c>
      <c r="H240" t="inlineStr">
        <is>
          <t>Övriga statliga verk och myndigheter</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56297-2023</t>
        </is>
      </c>
      <c r="B241" t="inlineStr">
        <is>
          <t>avverkningsanmälan</t>
        </is>
      </c>
      <c r="C241" t="inlineStr">
        <is>
          <t>Föryngringsavverkning</t>
        </is>
      </c>
      <c r="D241" s="1" t="n">
        <v>45242</v>
      </c>
      <c r="E241" s="1" t="n">
        <v>46266</v>
      </c>
      <c r="F241" t="inlineStr">
        <is>
          <t>VÄSTERBOTTENS LÄN</t>
        </is>
      </c>
      <c r="G241" t="inlineStr">
        <is>
          <t>STORUMAN</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1769-2026</t>
        </is>
      </c>
      <c r="B242" t="inlineStr">
        <is>
          <t>avverkningsanmälan</t>
        </is>
      </c>
      <c r="C242" t="inlineStr">
        <is>
          <t>Föryngringsavverkning</t>
        </is>
      </c>
      <c r="D242" s="1" t="n">
        <v>46034</v>
      </c>
      <c r="E242" s="1" t="n">
        <v>46266</v>
      </c>
      <c r="F242" t="inlineStr">
        <is>
          <t>VÄSTERBOTTENS LÄN</t>
        </is>
      </c>
      <c r="G242" t="inlineStr">
        <is>
          <t>STORUMAN</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15339-2023</t>
        </is>
      </c>
      <c r="B243" t="inlineStr">
        <is>
          <t>avverkningsanmälan</t>
        </is>
      </c>
      <c r="C243" t="inlineStr">
        <is>
          <t>Föryngringsavverkning</t>
        </is>
      </c>
      <c r="D243" s="1" t="n">
        <v>45016</v>
      </c>
      <c r="E243" s="1" t="n">
        <v>46266</v>
      </c>
      <c r="F243" t="inlineStr">
        <is>
          <t>VÄSTERBOTTENS LÄN</t>
        </is>
      </c>
      <c r="G243" t="inlineStr">
        <is>
          <t>STORUMAN</t>
        </is>
      </c>
      <c r="I243" t="n">
        <v>97.5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2209-2026</t>
        </is>
      </c>
      <c r="B244" t="inlineStr">
        <is>
          <t>avverkningsanmälan</t>
        </is>
      </c>
      <c r="C244" t="inlineStr">
        <is>
          <t>Föryngringsavverkning</t>
        </is>
      </c>
      <c r="D244" s="1" t="n">
        <v>46036</v>
      </c>
      <c r="E244" s="1" t="n">
        <v>46266</v>
      </c>
      <c r="F244" t="inlineStr">
        <is>
          <t>VÄSTERBOTTENS LÄN</t>
        </is>
      </c>
      <c r="G244" t="inlineStr">
        <is>
          <t>STORUMAN</t>
        </is>
      </c>
      <c r="I244" t="n">
        <v>17.6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17007-2024</t>
        </is>
      </c>
      <c r="B245" t="inlineStr">
        <is>
          <t>avverkningsanmälan</t>
        </is>
      </c>
      <c r="C245" t="inlineStr">
        <is>
          <t>Föryngringsavverkning</t>
        </is>
      </c>
      <c r="D245" s="1" t="n">
        <v>45411</v>
      </c>
      <c r="E245" s="1" t="n">
        <v>46266</v>
      </c>
      <c r="F245" t="inlineStr">
        <is>
          <t>VÄSTERBOTTENS LÄN</t>
        </is>
      </c>
      <c r="G245" t="inlineStr">
        <is>
          <t>STORUMAN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3562-2026</t>
        </is>
      </c>
      <c r="B246" t="inlineStr">
        <is>
          <t>avverkningsanmälan</t>
        </is>
      </c>
      <c r="C246" t="inlineStr">
        <is>
          <t>Föryngringsavverkning</t>
        </is>
      </c>
      <c r="D246" s="1" t="n">
        <v>46042</v>
      </c>
      <c r="E246" s="1" t="n">
        <v>46266</v>
      </c>
      <c r="F246" t="inlineStr">
        <is>
          <t>VÄSTERBOTTENS LÄN</t>
        </is>
      </c>
      <c r="G246" t="inlineStr">
        <is>
          <t>STORUMAN</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33836-2024</t>
        </is>
      </c>
      <c r="B247" t="inlineStr">
        <is>
          <t>avverkningsanmälan</t>
        </is>
      </c>
      <c r="C247" t="inlineStr">
        <is>
          <t>Föryngringsavverkning</t>
        </is>
      </c>
      <c r="D247" s="1" t="n">
        <v>45520</v>
      </c>
      <c r="E247" s="1" t="n">
        <v>46266</v>
      </c>
      <c r="F247" t="inlineStr">
        <is>
          <t>VÄSTERBOTTENS LÄN</t>
        </is>
      </c>
      <c r="G247" t="inlineStr">
        <is>
          <t>STORUMAN</t>
        </is>
      </c>
      <c r="H247" t="inlineStr">
        <is>
          <t>Sveaskog</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48332-2021</t>
        </is>
      </c>
      <c r="B248" t="inlineStr">
        <is>
          <t>avverkningsanmälan</t>
        </is>
      </c>
      <c r="C248" t="inlineStr">
        <is>
          <t>Föryngringsavverkning</t>
        </is>
      </c>
      <c r="D248" s="1" t="n">
        <v>44451</v>
      </c>
      <c r="E248" s="1" t="n">
        <v>46266</v>
      </c>
      <c r="F248" t="inlineStr">
        <is>
          <t>VÄSTERBOTTENS LÄN</t>
        </is>
      </c>
      <c r="G248" t="inlineStr">
        <is>
          <t>STORUMAN</t>
        </is>
      </c>
      <c r="H248" t="inlineStr">
        <is>
          <t>Sveaskog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33879-2024</t>
        </is>
      </c>
      <c r="B249" t="inlineStr">
        <is>
          <t>avverkningsanmälan</t>
        </is>
      </c>
      <c r="C249" t="inlineStr">
        <is>
          <t>Föryngringsavverkning</t>
        </is>
      </c>
      <c r="D249" s="1" t="n">
        <v>45522</v>
      </c>
      <c r="E249" s="1" t="n">
        <v>46266</v>
      </c>
      <c r="F249" t="inlineStr">
        <is>
          <t>VÄSTERBOTTENS LÄN</t>
        </is>
      </c>
      <c r="G249" t="inlineStr">
        <is>
          <t>STORUMAN</t>
        </is>
      </c>
      <c r="H249" t="inlineStr">
        <is>
          <t>Holmen skog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56879-2021</t>
        </is>
      </c>
      <c r="B250" t="inlineStr">
        <is>
          <t>avverkningsanmälan</t>
        </is>
      </c>
      <c r="C250" t="inlineStr">
        <is>
          <t>Föryngringsavverkning</t>
        </is>
      </c>
      <c r="D250" s="1" t="n">
        <v>44481</v>
      </c>
      <c r="E250" s="1" t="n">
        <v>46266</v>
      </c>
      <c r="F250" t="inlineStr">
        <is>
          <t>VÄSTERBOTTENS LÄN</t>
        </is>
      </c>
      <c r="G250" t="inlineStr">
        <is>
          <t>STORUMAN</t>
        </is>
      </c>
      <c r="I250" t="n">
        <v>32.2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5500-2022</t>
        </is>
      </c>
      <c r="B251" t="inlineStr">
        <is>
          <t>avverkningsanmälan</t>
        </is>
      </c>
      <c r="C251" t="inlineStr">
        <is>
          <t>Föryngringsavverkning</t>
        </is>
      </c>
      <c r="D251" s="1" t="n">
        <v>44595</v>
      </c>
      <c r="E251" s="1" t="n">
        <v>46266</v>
      </c>
      <c r="F251" t="inlineStr">
        <is>
          <t>VÄSTERBOTTENS LÄN</t>
        </is>
      </c>
      <c r="G251" t="inlineStr">
        <is>
          <t>STORUMAN</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52209-2024</t>
        </is>
      </c>
      <c r="B252" t="inlineStr">
        <is>
          <t>avverkningsanmälan</t>
        </is>
      </c>
      <c r="C252" t="inlineStr">
        <is>
          <t>Föryngringsavverkning</t>
        </is>
      </c>
      <c r="D252" s="1" t="n">
        <v>45607</v>
      </c>
      <c r="E252" s="1" t="n">
        <v>46266</v>
      </c>
      <c r="F252" t="inlineStr">
        <is>
          <t>VÄSTERBOTTENS LÄN</t>
        </is>
      </c>
      <c r="G252" t="inlineStr">
        <is>
          <t>STORUMAN</t>
        </is>
      </c>
      <c r="H252" t="inlineStr">
        <is>
          <t>Allmännings- och besparingsskogar</t>
        </is>
      </c>
      <c r="I252" t="n">
        <v>16.8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8063-2026</t>
        </is>
      </c>
      <c r="B253" t="inlineStr">
        <is>
          <t>avverkningsanmälan</t>
        </is>
      </c>
      <c r="C253" t="inlineStr">
        <is>
          <t>Föryngringsavverkning</t>
        </is>
      </c>
      <c r="D253" s="1" t="n">
        <v>46063</v>
      </c>
      <c r="E253" s="1" t="n">
        <v>46266</v>
      </c>
      <c r="F253" t="inlineStr">
        <is>
          <t>VÄSTERBOTTENS LÄN</t>
        </is>
      </c>
      <c r="G253" t="inlineStr">
        <is>
          <t>STORUMAN</t>
        </is>
      </c>
      <c r="H253" t="inlineStr">
        <is>
          <t>Sveaskog</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9048-2026</t>
        </is>
      </c>
      <c r="B254" t="inlineStr">
        <is>
          <t>avverkningsanmälan</t>
        </is>
      </c>
      <c r="C254" t="inlineStr">
        <is>
          <t>Föryngringsavverkning</t>
        </is>
      </c>
      <c r="D254" s="1" t="n">
        <v>46069</v>
      </c>
      <c r="E254" s="1" t="n">
        <v>46266</v>
      </c>
      <c r="F254" t="inlineStr">
        <is>
          <t>VÄSTERBOTTENS LÄN</t>
        </is>
      </c>
      <c r="G254" t="inlineStr">
        <is>
          <t>STORUMAN</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9038-2026</t>
        </is>
      </c>
      <c r="B255" t="inlineStr">
        <is>
          <t>avverkningsanmälan</t>
        </is>
      </c>
      <c r="C255" t="inlineStr">
        <is>
          <t>Föryngringsavverkning</t>
        </is>
      </c>
      <c r="D255" s="1" t="n">
        <v>46069</v>
      </c>
      <c r="E255" s="1" t="n">
        <v>46266</v>
      </c>
      <c r="F255" t="inlineStr">
        <is>
          <t>VÄSTERBOTTENS LÄN</t>
        </is>
      </c>
      <c r="G255" t="inlineStr">
        <is>
          <t>STORUMAN</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8758-2026</t>
        </is>
      </c>
      <c r="B256" t="inlineStr">
        <is>
          <t>avverkningsanmälan</t>
        </is>
      </c>
      <c r="C256" t="inlineStr">
        <is>
          <t>Föryngringsavverkning</t>
        </is>
      </c>
      <c r="D256" s="1" t="n">
        <v>46066</v>
      </c>
      <c r="E256" s="1" t="n">
        <v>46266</v>
      </c>
      <c r="F256" t="inlineStr">
        <is>
          <t>VÄSTERBOTTENS LÄN</t>
        </is>
      </c>
      <c r="G256" t="inlineStr">
        <is>
          <t>STORUMAN</t>
        </is>
      </c>
      <c r="H256" t="inlineStr">
        <is>
          <t>SCA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9086-2026</t>
        </is>
      </c>
      <c r="B257" t="inlineStr">
        <is>
          <t>avverkningsanmälan</t>
        </is>
      </c>
      <c r="C257" t="inlineStr">
        <is>
          <t>Föryngringsavverkning</t>
        </is>
      </c>
      <c r="D257" s="1" t="n">
        <v>46069</v>
      </c>
      <c r="E257" s="1" t="n">
        <v>46266</v>
      </c>
      <c r="F257" t="inlineStr">
        <is>
          <t>VÄSTERBOTTENS LÄN</t>
        </is>
      </c>
      <c r="G257" t="inlineStr">
        <is>
          <t>STORUMAN</t>
        </is>
      </c>
      <c r="H257" t="inlineStr">
        <is>
          <t>SCA</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9099-2026</t>
        </is>
      </c>
      <c r="B258" t="inlineStr">
        <is>
          <t>avverkningsanmälan</t>
        </is>
      </c>
      <c r="C258" t="inlineStr">
        <is>
          <t>Föryngringsavverkning</t>
        </is>
      </c>
      <c r="D258" s="1" t="n">
        <v>46069</v>
      </c>
      <c r="E258" s="1" t="n">
        <v>46266</v>
      </c>
      <c r="F258" t="inlineStr">
        <is>
          <t>VÄSTERBOTTENS LÄN</t>
        </is>
      </c>
      <c r="G258" t="inlineStr">
        <is>
          <t>STORUMAN</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8963-2026</t>
        </is>
      </c>
      <c r="B259" t="inlineStr">
        <is>
          <t>avverkningsanmälan</t>
        </is>
      </c>
      <c r="C259" t="inlineStr">
        <is>
          <t>Föryngringsavverkning</t>
        </is>
      </c>
      <c r="D259" s="1" t="n">
        <v>46069</v>
      </c>
      <c r="E259" s="1" t="n">
        <v>46266</v>
      </c>
      <c r="F259" t="inlineStr">
        <is>
          <t>VÄSTERBOTTENS LÄN</t>
        </is>
      </c>
      <c r="G259" t="inlineStr">
        <is>
          <t>STORUMAN</t>
        </is>
      </c>
      <c r="I259" t="n">
        <v>19.8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9565-2026</t>
        </is>
      </c>
      <c r="B260" t="inlineStr">
        <is>
          <t>avverkningsanmälan</t>
        </is>
      </c>
      <c r="C260" t="inlineStr">
        <is>
          <t>Föryngringsavverkning</t>
        </is>
      </c>
      <c r="D260" s="1" t="n">
        <v>46071</v>
      </c>
      <c r="E260" s="1" t="n">
        <v>46266</v>
      </c>
      <c r="F260" t="inlineStr">
        <is>
          <t>VÄSTERBOTTENS LÄN</t>
        </is>
      </c>
      <c r="G260" t="inlineStr">
        <is>
          <t>STORUMAN</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9948-2026</t>
        </is>
      </c>
      <c r="B261" t="inlineStr">
        <is>
          <t>avverkningsanmälan</t>
        </is>
      </c>
      <c r="C261" t="inlineStr">
        <is>
          <t>Föryngringsavverkning</t>
        </is>
      </c>
      <c r="D261" s="1" t="n">
        <v>46073</v>
      </c>
      <c r="E261" s="1" t="n">
        <v>46266</v>
      </c>
      <c r="F261" t="inlineStr">
        <is>
          <t>VÄSTERBOTTENS LÄN</t>
        </is>
      </c>
      <c r="G261" t="inlineStr">
        <is>
          <t>STORUMAN</t>
        </is>
      </c>
      <c r="H261" t="inlineStr">
        <is>
          <t>SCA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9945-2026</t>
        </is>
      </c>
      <c r="B262" t="inlineStr">
        <is>
          <t>avverkningsanmälan</t>
        </is>
      </c>
      <c r="C262" t="inlineStr">
        <is>
          <t>Föryngringsavverkning</t>
        </is>
      </c>
      <c r="D262" s="1" t="n">
        <v>46073</v>
      </c>
      <c r="E262" s="1" t="n">
        <v>46266</v>
      </c>
      <c r="F262" t="inlineStr">
        <is>
          <t>VÄSTERBOTTENS LÄN</t>
        </is>
      </c>
      <c r="G262" t="inlineStr">
        <is>
          <t>STORUMAN</t>
        </is>
      </c>
      <c r="H262" t="inlineStr">
        <is>
          <t>SCA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9829-2026</t>
        </is>
      </c>
      <c r="B263" t="inlineStr">
        <is>
          <t>avverkningsanmälan</t>
        </is>
      </c>
      <c r="C263" t="inlineStr">
        <is>
          <t>Föryngringsavverkning</t>
        </is>
      </c>
      <c r="D263" s="1" t="n">
        <v>46072</v>
      </c>
      <c r="E263" s="1" t="n">
        <v>46266</v>
      </c>
      <c r="F263" t="inlineStr">
        <is>
          <t>VÄSTERBOTTENS LÄN</t>
        </is>
      </c>
      <c r="G263" t="inlineStr">
        <is>
          <t>STORUMAN</t>
        </is>
      </c>
      <c r="H263" t="inlineStr">
        <is>
          <t>SCA</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9830-2026</t>
        </is>
      </c>
      <c r="B264" t="inlineStr">
        <is>
          <t>avverkningsanmälan</t>
        </is>
      </c>
      <c r="C264" t="inlineStr">
        <is>
          <t>Föryngringsavverkning</t>
        </is>
      </c>
      <c r="D264" s="1" t="n">
        <v>46072</v>
      </c>
      <c r="E264" s="1" t="n">
        <v>46266</v>
      </c>
      <c r="F264" t="inlineStr">
        <is>
          <t>VÄSTERBOTTENS LÄN</t>
        </is>
      </c>
      <c r="G264" t="inlineStr">
        <is>
          <t>STORUMAN</t>
        </is>
      </c>
      <c r="H264" t="inlineStr">
        <is>
          <t>SCA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22319-2022</t>
        </is>
      </c>
      <c r="B265" t="inlineStr">
        <is>
          <t>avverkningsanmälan</t>
        </is>
      </c>
      <c r="C265" t="inlineStr">
        <is>
          <t>Föryngringsavverkning</t>
        </is>
      </c>
      <c r="D265" s="1" t="n">
        <v>44712</v>
      </c>
      <c r="E265" s="1" t="n">
        <v>46266</v>
      </c>
      <c r="F265" t="inlineStr">
        <is>
          <t>VÄSTERBOTTENS LÄN</t>
        </is>
      </c>
      <c r="G265" t="inlineStr">
        <is>
          <t>STORUMAN</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11995-2026</t>
        </is>
      </c>
      <c r="B266" t="inlineStr">
        <is>
          <t>avverkningsanmälan</t>
        </is>
      </c>
      <c r="C266" t="inlineStr">
        <is>
          <t>Föryngringsavverkning</t>
        </is>
      </c>
      <c r="D266" s="1" t="n">
        <v>46085</v>
      </c>
      <c r="E266" s="1" t="n">
        <v>46266</v>
      </c>
      <c r="F266" t="inlineStr">
        <is>
          <t>VÄSTERBOTTENS LÄN</t>
        </is>
      </c>
      <c r="G266" t="inlineStr">
        <is>
          <t>STORUMAN</t>
        </is>
      </c>
      <c r="H266" t="inlineStr">
        <is>
          <t>Holmen skog AB</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12004-2026</t>
        </is>
      </c>
      <c r="B267" t="inlineStr">
        <is>
          <t>avverkningsanmälan</t>
        </is>
      </c>
      <c r="C267" t="inlineStr">
        <is>
          <t>Föryngringsavverkning</t>
        </is>
      </c>
      <c r="D267" s="1" t="n">
        <v>46085</v>
      </c>
      <c r="E267" s="1" t="n">
        <v>46266</v>
      </c>
      <c r="F267" t="inlineStr">
        <is>
          <t>VÄSTERBOTTENS LÄN</t>
        </is>
      </c>
      <c r="G267" t="inlineStr">
        <is>
          <t>STORUMAN</t>
        </is>
      </c>
      <c r="H267" t="inlineStr">
        <is>
          <t>Holmen skog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12444-2026</t>
        </is>
      </c>
      <c r="B268" t="inlineStr">
        <is>
          <t>avverkningsanmälan</t>
        </is>
      </c>
      <c r="C268" t="inlineStr">
        <is>
          <t>Föryngringsavverkning</t>
        </is>
      </c>
      <c r="D268" s="1" t="n">
        <v>46090</v>
      </c>
      <c r="E268" s="1" t="n">
        <v>46266</v>
      </c>
      <c r="F268" t="inlineStr">
        <is>
          <t>VÄSTERBOTTENS LÄN</t>
        </is>
      </c>
      <c r="G268" t="inlineStr">
        <is>
          <t>STORUMAN</t>
        </is>
      </c>
      <c r="H268" t="inlineStr">
        <is>
          <t>Holmen skog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12452-2026</t>
        </is>
      </c>
      <c r="B269" t="inlineStr">
        <is>
          <t>avverkningsanmälan</t>
        </is>
      </c>
      <c r="C269" t="inlineStr">
        <is>
          <t>Föryngringsavverkning</t>
        </is>
      </c>
      <c r="D269" s="1" t="n">
        <v>46090</v>
      </c>
      <c r="E269" s="1" t="n">
        <v>46266</v>
      </c>
      <c r="F269" t="inlineStr">
        <is>
          <t>VÄSTERBOTTENS LÄN</t>
        </is>
      </c>
      <c r="G269" t="inlineStr">
        <is>
          <t>STORUMAN</t>
        </is>
      </c>
      <c r="H269" t="inlineStr">
        <is>
          <t>Holmen skog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16520-2022</t>
        </is>
      </c>
      <c r="B270" t="inlineStr">
        <is>
          <t>avverkningsanmälan</t>
        </is>
      </c>
      <c r="C270" t="inlineStr">
        <is>
          <t>Föryngringsavverkning</t>
        </is>
      </c>
      <c r="D270" s="1" t="n">
        <v>44671</v>
      </c>
      <c r="E270" s="1" t="n">
        <v>46266</v>
      </c>
      <c r="F270" t="inlineStr">
        <is>
          <t>VÄSTERBOTTENS LÄN</t>
        </is>
      </c>
      <c r="G270" t="inlineStr">
        <is>
          <t>STORUMAN</t>
        </is>
      </c>
      <c r="I270" t="n">
        <v>20.1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13119-2026</t>
        </is>
      </c>
      <c r="B271" t="inlineStr">
        <is>
          <t>avverkningsanmälan</t>
        </is>
      </c>
      <c r="C271" t="inlineStr">
        <is>
          <t>Föryngringsavverkning</t>
        </is>
      </c>
      <c r="D271" s="1" t="n">
        <v>46093</v>
      </c>
      <c r="E271" s="1" t="n">
        <v>46266</v>
      </c>
      <c r="F271" t="inlineStr">
        <is>
          <t>VÄSTERBOTTENS LÄN</t>
        </is>
      </c>
      <c r="G271" t="inlineStr">
        <is>
          <t>STORUMAN</t>
        </is>
      </c>
      <c r="H271" t="inlineStr">
        <is>
          <t>SCA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13771-2026</t>
        </is>
      </c>
      <c r="B272" t="inlineStr">
        <is>
          <t>avverkningsanmälan</t>
        </is>
      </c>
      <c r="C272" t="inlineStr">
        <is>
          <t>Föryngringsavverkning</t>
        </is>
      </c>
      <c r="D272" s="1" t="n">
        <v>46097</v>
      </c>
      <c r="E272" s="1" t="n">
        <v>46266</v>
      </c>
      <c r="F272" t="inlineStr">
        <is>
          <t>VÄSTERBOTTENS LÄN</t>
        </is>
      </c>
      <c r="G272" t="inlineStr">
        <is>
          <t>STORUMAN</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51334-2023</t>
        </is>
      </c>
      <c r="B273" t="inlineStr">
        <is>
          <t>avverkningsanmälan</t>
        </is>
      </c>
      <c r="C273" t="inlineStr">
        <is>
          <t>Avverkning för annat ändamål</t>
        </is>
      </c>
      <c r="D273" s="1" t="n">
        <v>45219</v>
      </c>
      <c r="E273" s="1" t="n">
        <v>46266</v>
      </c>
      <c r="F273" t="inlineStr">
        <is>
          <t>VÄSTERBOTTENS LÄN</t>
        </is>
      </c>
      <c r="G273" t="inlineStr">
        <is>
          <t>STORUMAN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14723-2026</t>
        </is>
      </c>
      <c r="B274" t="inlineStr">
        <is>
          <t>avverkningsanmälan</t>
        </is>
      </c>
      <c r="C274" t="inlineStr">
        <is>
          <t>Föryngringsavverkning</t>
        </is>
      </c>
      <c r="D274" s="1" t="n">
        <v>46101</v>
      </c>
      <c r="E274" s="1" t="n">
        <v>46266</v>
      </c>
      <c r="F274" t="inlineStr">
        <is>
          <t>VÄSTERBOTTENS LÄN</t>
        </is>
      </c>
      <c r="G274" t="inlineStr">
        <is>
          <t>STORUMAN</t>
        </is>
      </c>
      <c r="I274" t="n">
        <v>10.6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51949-2025</t>
        </is>
      </c>
      <c r="B275" t="inlineStr">
        <is>
          <t>avverkningsanmälan</t>
        </is>
      </c>
      <c r="C275" t="inlineStr">
        <is>
          <t>Föryngringsavverkning</t>
        </is>
      </c>
      <c r="D275" s="1" t="n">
        <v>45952</v>
      </c>
      <c r="E275" s="1" t="n">
        <v>46266</v>
      </c>
      <c r="F275" t="inlineStr">
        <is>
          <t>VÄSTERBOTTENS LÄN</t>
        </is>
      </c>
      <c r="G275" t="inlineStr">
        <is>
          <t>STORUMAN</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5394-2026</t>
        </is>
      </c>
      <c r="B276" t="inlineStr">
        <is>
          <t>avverkningsanmälan</t>
        </is>
      </c>
      <c r="C276" t="inlineStr">
        <is>
          <t>Avverkning för annat ändamål</t>
        </is>
      </c>
      <c r="D276" s="1" t="n">
        <v>46048</v>
      </c>
      <c r="E276" s="1" t="n">
        <v>46266</v>
      </c>
      <c r="F276" t="inlineStr">
        <is>
          <t>VÄSTERBOTTENS LÄN</t>
        </is>
      </c>
      <c r="G276" t="inlineStr">
        <is>
          <t>STORUMAN</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14636-2026</t>
        </is>
      </c>
      <c r="B277" t="inlineStr">
        <is>
          <t>avverkningsanmälan</t>
        </is>
      </c>
      <c r="C277" t="inlineStr">
        <is>
          <t>Föryngringsavverkning</t>
        </is>
      </c>
      <c r="D277" s="1" t="n">
        <v>46101</v>
      </c>
      <c r="E277" s="1" t="n">
        <v>46266</v>
      </c>
      <c r="F277" t="inlineStr">
        <is>
          <t>VÄSTERBOTTENS LÄN</t>
        </is>
      </c>
      <c r="G277" t="inlineStr">
        <is>
          <t>STORUMAN</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3040-2022</t>
        </is>
      </c>
      <c r="B278" t="inlineStr">
        <is>
          <t>avverkningsanmälan</t>
        </is>
      </c>
      <c r="C278" t="inlineStr">
        <is>
          <t>Föryngringsavverkning</t>
        </is>
      </c>
      <c r="D278" s="1" t="n">
        <v>44581</v>
      </c>
      <c r="E278" s="1" t="n">
        <v>46266</v>
      </c>
      <c r="F278" t="inlineStr">
        <is>
          <t>VÄSTERBOTTENS LÄN</t>
        </is>
      </c>
      <c r="G278" t="inlineStr">
        <is>
          <t>STORUMAN</t>
        </is>
      </c>
      <c r="I278" t="n">
        <v>14.2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56517-2021</t>
        </is>
      </c>
      <c r="B279" t="inlineStr">
        <is>
          <t>avverkningsanmälan</t>
        </is>
      </c>
      <c r="C279" t="inlineStr">
        <is>
          <t>Föryngringsavverkning</t>
        </is>
      </c>
      <c r="D279" s="1" t="n">
        <v>44480</v>
      </c>
      <c r="E279" s="1" t="n">
        <v>46266</v>
      </c>
      <c r="F279" t="inlineStr">
        <is>
          <t>VÄSTERBOTTENS LÄN</t>
        </is>
      </c>
      <c r="G279" t="inlineStr">
        <is>
          <t>STORUMAN</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33801-2024</t>
        </is>
      </c>
      <c r="B280" t="inlineStr">
        <is>
          <t>avverkningsanmälan</t>
        </is>
      </c>
      <c r="C280" t="inlineStr">
        <is>
          <t>Föryngringsavverkning</t>
        </is>
      </c>
      <c r="D280" s="1" t="n">
        <v>45520</v>
      </c>
      <c r="E280" s="1" t="n">
        <v>46266</v>
      </c>
      <c r="F280" t="inlineStr">
        <is>
          <t>VÄSTERBOTTENS LÄN</t>
        </is>
      </c>
      <c r="G280" t="inlineStr">
        <is>
          <t>STORUMAN</t>
        </is>
      </c>
      <c r="H280" t="inlineStr">
        <is>
          <t>Sveaskog</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33805-2024</t>
        </is>
      </c>
      <c r="B281" t="inlineStr">
        <is>
          <t>avverkningsanmälan</t>
        </is>
      </c>
      <c r="C281" t="inlineStr">
        <is>
          <t>Föryngringsavverkning</t>
        </is>
      </c>
      <c r="D281" s="1" t="n">
        <v>45520</v>
      </c>
      <c r="E281" s="1" t="n">
        <v>46266</v>
      </c>
      <c r="F281" t="inlineStr">
        <is>
          <t>VÄSTERBOTTENS LÄN</t>
        </is>
      </c>
      <c r="G281" t="inlineStr">
        <is>
          <t>STORUMAN</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36308-2025</t>
        </is>
      </c>
      <c r="B282" t="inlineStr">
        <is>
          <t>avverkningsanmälan</t>
        </is>
      </c>
      <c r="C282" t="inlineStr">
        <is>
          <t>Föryngringsavverkning</t>
        </is>
      </c>
      <c r="D282" s="1" t="n">
        <v>45868</v>
      </c>
      <c r="E282" s="1" t="n">
        <v>46266</v>
      </c>
      <c r="F282" t="inlineStr">
        <is>
          <t>VÄSTERBOTTENS LÄN</t>
        </is>
      </c>
      <c r="G282" t="inlineStr">
        <is>
          <t>STORUMAN</t>
        </is>
      </c>
      <c r="I282" t="n">
        <v>25.3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14479-2022</t>
        </is>
      </c>
      <c r="B283" t="inlineStr">
        <is>
          <t>avverkningsanmälan</t>
        </is>
      </c>
      <c r="C283" t="inlineStr">
        <is>
          <t>Föryngringsavverkning</t>
        </is>
      </c>
      <c r="D283" s="1" t="n">
        <v>44650</v>
      </c>
      <c r="E283" s="1" t="n">
        <v>46266</v>
      </c>
      <c r="F283" t="inlineStr">
        <is>
          <t>VÄSTERBOTTENS LÄN</t>
        </is>
      </c>
      <c r="G283" t="inlineStr">
        <is>
          <t>STORUMAN</t>
        </is>
      </c>
      <c r="H283" t="inlineStr">
        <is>
          <t>Övriga statliga verk och myndigheter</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16792-2026</t>
        </is>
      </c>
      <c r="B284" t="inlineStr">
        <is>
          <t>avverkningsanmälan</t>
        </is>
      </c>
      <c r="C284" t="inlineStr">
        <is>
          <t>Föryngringsavverkning</t>
        </is>
      </c>
      <c r="D284" s="1" t="n">
        <v>46113</v>
      </c>
      <c r="E284" s="1" t="n">
        <v>46266</v>
      </c>
      <c r="F284" t="inlineStr">
        <is>
          <t>VÄSTERBOTTENS LÄN</t>
        </is>
      </c>
      <c r="G284" t="inlineStr">
        <is>
          <t>STORUMAN</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23454-2024</t>
        </is>
      </c>
      <c r="B285" t="inlineStr">
        <is>
          <t>avverkningsanmälan</t>
        </is>
      </c>
      <c r="C285" t="inlineStr">
        <is>
          <t>Föryngringsavverkning</t>
        </is>
      </c>
      <c r="D285" s="1" t="n">
        <v>45453</v>
      </c>
      <c r="E285" s="1" t="n">
        <v>46266</v>
      </c>
      <c r="F285" t="inlineStr">
        <is>
          <t>VÄSTERBOTTENS LÄN</t>
        </is>
      </c>
      <c r="G285" t="inlineStr">
        <is>
          <t>STORUMAN</t>
        </is>
      </c>
      <c r="H285" t="inlineStr">
        <is>
          <t>Sveaskog</t>
        </is>
      </c>
      <c r="I285" t="n">
        <v>26.6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59583-2025</t>
        </is>
      </c>
      <c r="B286" t="inlineStr">
        <is>
          <t>avverkningsanmälan</t>
        </is>
      </c>
      <c r="C286" t="inlineStr">
        <is>
          <t>Föryngringsavverkning</t>
        </is>
      </c>
      <c r="D286" s="1" t="n">
        <v>45992</v>
      </c>
      <c r="E286" s="1" t="n">
        <v>46266</v>
      </c>
      <c r="F286" t="inlineStr">
        <is>
          <t>VÄSTERBOTTENS LÄN</t>
        </is>
      </c>
      <c r="G286" t="inlineStr">
        <is>
          <t>STORUMAN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59598-2025</t>
        </is>
      </c>
      <c r="B287" t="inlineStr">
        <is>
          <t>avverkningsanmälan</t>
        </is>
      </c>
      <c r="C287" t="inlineStr">
        <is>
          <t>Föryngringsavverkning</t>
        </is>
      </c>
      <c r="D287" s="1" t="n">
        <v>45992</v>
      </c>
      <c r="E287" s="1" t="n">
        <v>46266</v>
      </c>
      <c r="F287" t="inlineStr">
        <is>
          <t>VÄSTERBOTTENS LÄN</t>
        </is>
      </c>
      <c r="G287" t="inlineStr">
        <is>
          <t>STORUMAN</t>
        </is>
      </c>
      <c r="I287" t="n">
        <v>16.8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18846-2023</t>
        </is>
      </c>
      <c r="B288" t="inlineStr">
        <is>
          <t>avverkningsanmälan</t>
        </is>
      </c>
      <c r="C288" t="inlineStr">
        <is>
          <t>Föryngringsavverkning</t>
        </is>
      </c>
      <c r="D288" s="1" t="n">
        <v>45042</v>
      </c>
      <c r="E288" s="1" t="n">
        <v>46266</v>
      </c>
      <c r="F288" t="inlineStr">
        <is>
          <t>VÄSTERBOTTENS LÄN</t>
        </is>
      </c>
      <c r="G288" t="inlineStr">
        <is>
          <t>STORUMAN</t>
        </is>
      </c>
      <c r="I288" t="n">
        <v>17.7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50917-2022</t>
        </is>
      </c>
      <c r="B289" t="inlineStr">
        <is>
          <t>avverkningsanmälan</t>
        </is>
      </c>
      <c r="C289" t="inlineStr">
        <is>
          <t>Föryngringsavverkning</t>
        </is>
      </c>
      <c r="D289" s="1" t="n">
        <v>44867</v>
      </c>
      <c r="E289" s="1" t="n">
        <v>46266</v>
      </c>
      <c r="F289" t="inlineStr">
        <is>
          <t>VÄSTERBOTTENS LÄN</t>
        </is>
      </c>
      <c r="G289" t="inlineStr">
        <is>
          <t>STORUMAN</t>
        </is>
      </c>
      <c r="H289" t="inlineStr">
        <is>
          <t>Sveaskog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20075-2026</t>
        </is>
      </c>
      <c r="B290" t="inlineStr">
        <is>
          <t>avverkningsanmälan</t>
        </is>
      </c>
      <c r="C290" t="inlineStr">
        <is>
          <t>Föryngringsavverkning</t>
        </is>
      </c>
      <c r="D290" s="1" t="n">
        <v>46135</v>
      </c>
      <c r="E290" s="1" t="n">
        <v>46266</v>
      </c>
      <c r="F290" t="inlineStr">
        <is>
          <t>VÄSTERBOTTENS LÄN</t>
        </is>
      </c>
      <c r="G290" t="inlineStr">
        <is>
          <t>STORUMAN</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19681-2026</t>
        </is>
      </c>
      <c r="B291" t="inlineStr">
        <is>
          <t>avverkningsanmälan</t>
        </is>
      </c>
      <c r="C291" t="inlineStr">
        <is>
          <t>Föryngringsavverkning</t>
        </is>
      </c>
      <c r="D291" s="1" t="n">
        <v>46134</v>
      </c>
      <c r="E291" s="1" t="n">
        <v>46266</v>
      </c>
      <c r="F291" t="inlineStr">
        <is>
          <t>VÄSTERBOTTENS LÄN</t>
        </is>
      </c>
      <c r="G291" t="inlineStr">
        <is>
          <t>STORUMAN</t>
        </is>
      </c>
      <c r="H291" t="inlineStr">
        <is>
          <t>Sveaskog</t>
        </is>
      </c>
      <c r="I291" t="n">
        <v>13.2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19554-2026</t>
        </is>
      </c>
      <c r="B292" t="inlineStr">
        <is>
          <t>avverkningsanmälan</t>
        </is>
      </c>
      <c r="C292" t="inlineStr">
        <is>
          <t>Föryngringsavverkning</t>
        </is>
      </c>
      <c r="D292" s="1" t="n">
        <v>46134</v>
      </c>
      <c r="E292" s="1" t="n">
        <v>46266</v>
      </c>
      <c r="F292" t="inlineStr">
        <is>
          <t>VÄSTERBOTTENS LÄN</t>
        </is>
      </c>
      <c r="G292" t="inlineStr">
        <is>
          <t>STORUMAN</t>
        </is>
      </c>
      <c r="H292" t="inlineStr">
        <is>
          <t>SCA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28061-2022</t>
        </is>
      </c>
      <c r="B293" t="inlineStr">
        <is>
          <t>avverkningsanmälan</t>
        </is>
      </c>
      <c r="C293" t="inlineStr">
        <is>
          <t>Föryngringsavverkning</t>
        </is>
      </c>
      <c r="D293" s="1" t="n">
        <v>44746</v>
      </c>
      <c r="E293" s="1" t="n">
        <v>46266</v>
      </c>
      <c r="F293" t="inlineStr">
        <is>
          <t>VÄSTERBOTTENS LÄN</t>
        </is>
      </c>
      <c r="G293" t="inlineStr">
        <is>
          <t>STORUMAN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19574-2026</t>
        </is>
      </c>
      <c r="B294" t="inlineStr">
        <is>
          <t>avverkningsanmälan</t>
        </is>
      </c>
      <c r="C294" t="inlineStr">
        <is>
          <t>Föryngringsavverkning</t>
        </is>
      </c>
      <c r="D294" s="1" t="n">
        <v>46134</v>
      </c>
      <c r="E294" s="1" t="n">
        <v>46266</v>
      </c>
      <c r="F294" t="inlineStr">
        <is>
          <t>VÄSTERBOTTENS LÄN</t>
        </is>
      </c>
      <c r="G294" t="inlineStr">
        <is>
          <t>STORUMAN</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35711-2025</t>
        </is>
      </c>
      <c r="B295" t="inlineStr">
        <is>
          <t>avverkningsanmälan</t>
        </is>
      </c>
      <c r="C295" t="inlineStr">
        <is>
          <t>Avverkning för annat ändamål</t>
        </is>
      </c>
      <c r="D295" s="1" t="n">
        <v>45860</v>
      </c>
      <c r="E295" s="1" t="n">
        <v>46266</v>
      </c>
      <c r="F295" t="inlineStr">
        <is>
          <t>VÄSTERBOTTENS LÄN</t>
        </is>
      </c>
      <c r="G295" t="inlineStr">
        <is>
          <t>STORUMAN</t>
        </is>
      </c>
      <c r="H295" t="inlineStr">
        <is>
          <t>Holmen skog AB</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38366-2024</t>
        </is>
      </c>
      <c r="B296" t="inlineStr">
        <is>
          <t>avverkningsanmälan</t>
        </is>
      </c>
      <c r="C296" t="inlineStr">
        <is>
          <t>Föryngringsavverkning</t>
        </is>
      </c>
      <c r="D296" s="1" t="n">
        <v>45545</v>
      </c>
      <c r="E296" s="1" t="n">
        <v>46266</v>
      </c>
      <c r="F296" t="inlineStr">
        <is>
          <t>VÄSTERBOTTENS LÄN</t>
        </is>
      </c>
      <c r="G296" t="inlineStr">
        <is>
          <t>STORUMAN</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20134-2026</t>
        </is>
      </c>
      <c r="B297" t="inlineStr">
        <is>
          <t>avverkningsanmälan</t>
        </is>
      </c>
      <c r="C297" t="inlineStr">
        <is>
          <t>Föryngringsavverkning</t>
        </is>
      </c>
      <c r="D297" s="1" t="n">
        <v>46136</v>
      </c>
      <c r="E297" s="1" t="n">
        <v>46266</v>
      </c>
      <c r="F297" t="inlineStr">
        <is>
          <t>VÄSTERBOTTENS LÄN</t>
        </is>
      </c>
      <c r="G297" t="inlineStr">
        <is>
          <t>STORUMAN</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35067-2025</t>
        </is>
      </c>
      <c r="B298" t="inlineStr">
        <is>
          <t>avverkningsanmälan</t>
        </is>
      </c>
      <c r="C298" t="inlineStr">
        <is>
          <t>Föryngringsavverkning</t>
        </is>
      </c>
      <c r="D298" s="1" t="n">
        <v>45852</v>
      </c>
      <c r="E298" s="1" t="n">
        <v>46266</v>
      </c>
      <c r="F298" t="inlineStr">
        <is>
          <t>VÄSTERBOTTENS LÄN</t>
        </is>
      </c>
      <c r="G298" t="inlineStr">
        <is>
          <t>STORUMAN</t>
        </is>
      </c>
      <c r="H298" t="inlineStr">
        <is>
          <t>Holmen skog AB</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20132-2026</t>
        </is>
      </c>
      <c r="B299" t="inlineStr">
        <is>
          <t>avverkningsanmälan</t>
        </is>
      </c>
      <c r="C299" t="inlineStr">
        <is>
          <t>Föryngringsavverkning</t>
        </is>
      </c>
      <c r="D299" s="1" t="n">
        <v>46136</v>
      </c>
      <c r="E299" s="1" t="n">
        <v>46266</v>
      </c>
      <c r="F299" t="inlineStr">
        <is>
          <t>VÄSTERBOTTENS LÄN</t>
        </is>
      </c>
      <c r="G299" t="inlineStr">
        <is>
          <t>STORUMAN</t>
        </is>
      </c>
      <c r="H299" t="inlineStr">
        <is>
          <t>Sveaskog</t>
        </is>
      </c>
      <c r="I299" t="n">
        <v>40.9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44681-2025</t>
        </is>
      </c>
      <c r="B300" t="inlineStr">
        <is>
          <t>avverkningsanmälan</t>
        </is>
      </c>
      <c r="C300" t="inlineStr">
        <is>
          <t>Föryngringsavverkning</t>
        </is>
      </c>
      <c r="D300" s="1" t="n">
        <v>45917</v>
      </c>
      <c r="E300" s="1" t="n">
        <v>46266</v>
      </c>
      <c r="F300" t="inlineStr">
        <is>
          <t>VÄSTERBOTTENS LÄN</t>
        </is>
      </c>
      <c r="G300" t="inlineStr">
        <is>
          <t>STORUMAN</t>
        </is>
      </c>
      <c r="H300" t="inlineStr">
        <is>
          <t>Holmen skog AB</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37074-2023</t>
        </is>
      </c>
      <c r="B301" t="inlineStr">
        <is>
          <t>avverkningsanmälan</t>
        </is>
      </c>
      <c r="C301" t="inlineStr">
        <is>
          <t>Föryngringsavverkning</t>
        </is>
      </c>
      <c r="D301" s="1" t="n">
        <v>45155</v>
      </c>
      <c r="E301" s="1" t="n">
        <v>46266</v>
      </c>
      <c r="F301" t="inlineStr">
        <is>
          <t>VÄSTERBOTTENS LÄN</t>
        </is>
      </c>
      <c r="G301" t="inlineStr">
        <is>
          <t>STORUMAN</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30815-2024</t>
        </is>
      </c>
      <c r="B302" t="inlineStr">
        <is>
          <t>avverkningsanmälan</t>
        </is>
      </c>
      <c r="C302" t="inlineStr">
        <is>
          <t>Föryngringsavverkning</t>
        </is>
      </c>
      <c r="D302" s="1" t="n">
        <v>45497</v>
      </c>
      <c r="E302" s="1" t="n">
        <v>46266</v>
      </c>
      <c r="F302" t="inlineStr">
        <is>
          <t>VÄSTERBOTTENS LÄN</t>
        </is>
      </c>
      <c r="G302" t="inlineStr">
        <is>
          <t>STORUMAN</t>
        </is>
      </c>
      <c r="I302" t="n">
        <v>25.8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24691-2023</t>
        </is>
      </c>
      <c r="B303" t="inlineStr">
        <is>
          <t>avverkningsanmälan</t>
        </is>
      </c>
      <c r="C303" t="inlineStr">
        <is>
          <t>Föryngringsavverkning</t>
        </is>
      </c>
      <c r="D303" s="1" t="n">
        <v>45077</v>
      </c>
      <c r="E303" s="1" t="n">
        <v>46266</v>
      </c>
      <c r="F303" t="inlineStr">
        <is>
          <t>VÄSTERBOTTENS LÄN</t>
        </is>
      </c>
      <c r="G303" t="inlineStr">
        <is>
          <t>STORUMAN</t>
        </is>
      </c>
      <c r="I303" t="n">
        <v>929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40059-2024</t>
        </is>
      </c>
      <c r="B304" t="inlineStr">
        <is>
          <t>avverkningsanmälan</t>
        </is>
      </c>
      <c r="C304" t="inlineStr">
        <is>
          <t>Föryngringsavverkning</t>
        </is>
      </c>
      <c r="D304" s="1" t="n">
        <v>45553</v>
      </c>
      <c r="E304" s="1" t="n">
        <v>46266</v>
      </c>
      <c r="F304" t="inlineStr">
        <is>
          <t>VÄSTERBOTTENS LÄN</t>
        </is>
      </c>
      <c r="G304" t="inlineStr">
        <is>
          <t>STORUMAN</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46362-2024</t>
        </is>
      </c>
      <c r="B305" t="inlineStr">
        <is>
          <t>avverkningsanmälan</t>
        </is>
      </c>
      <c r="C305" t="inlineStr">
        <is>
          <t>Föryngringsavverkning</t>
        </is>
      </c>
      <c r="D305" s="1" t="n">
        <v>45582</v>
      </c>
      <c r="E305" s="1" t="n">
        <v>46266</v>
      </c>
      <c r="F305" t="inlineStr">
        <is>
          <t>VÄSTERBOTTENS LÄN</t>
        </is>
      </c>
      <c r="G305" t="inlineStr">
        <is>
          <t>STORUMAN</t>
        </is>
      </c>
      <c r="I305" t="n">
        <v>12.5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46363-2024</t>
        </is>
      </c>
      <c r="B306" t="inlineStr">
        <is>
          <t>avverkningsanmälan</t>
        </is>
      </c>
      <c r="C306" t="inlineStr">
        <is>
          <t>Föryngringsavverkning</t>
        </is>
      </c>
      <c r="D306" s="1" t="n">
        <v>45582</v>
      </c>
      <c r="E306" s="1" t="n">
        <v>46266</v>
      </c>
      <c r="F306" t="inlineStr">
        <is>
          <t>VÄSTERBOTTENS LÄN</t>
        </is>
      </c>
      <c r="G306" t="inlineStr">
        <is>
          <t>STORUMAN</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41108-2023</t>
        </is>
      </c>
      <c r="B307" t="inlineStr">
        <is>
          <t>avverkningsanmälan</t>
        </is>
      </c>
      <c r="C307" t="inlineStr">
        <is>
          <t>Föryngringsavverkning</t>
        </is>
      </c>
      <c r="D307" s="1" t="n">
        <v>45170</v>
      </c>
      <c r="E307" s="1" t="n">
        <v>46266</v>
      </c>
      <c r="F307" t="inlineStr">
        <is>
          <t>VÄSTERBOTTENS LÄN</t>
        </is>
      </c>
      <c r="G307" t="inlineStr">
        <is>
          <t>STORUMAN</t>
        </is>
      </c>
      <c r="I307" t="n">
        <v>9.699999999999999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30745-2024</t>
        </is>
      </c>
      <c r="B308" t="inlineStr">
        <is>
          <t>avverkningsanmälan</t>
        </is>
      </c>
      <c r="C308" t="inlineStr">
        <is>
          <t>Avverkning för annat ändamål</t>
        </is>
      </c>
      <c r="D308" s="1" t="n">
        <v>45496</v>
      </c>
      <c r="E308" s="1" t="n">
        <v>46266</v>
      </c>
      <c r="F308" t="inlineStr">
        <is>
          <t>VÄSTERBOTTENS LÄN</t>
        </is>
      </c>
      <c r="G308" t="inlineStr">
        <is>
          <t>STORUMAN</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49684-2025</t>
        </is>
      </c>
      <c r="B309" t="inlineStr">
        <is>
          <t>avverkningsanmälan</t>
        </is>
      </c>
      <c r="C309" t="inlineStr">
        <is>
          <t>Föryngringsavverkning</t>
        </is>
      </c>
      <c r="D309" s="1" t="n">
        <v>45939</v>
      </c>
      <c r="E309" s="1" t="n">
        <v>46266</v>
      </c>
      <c r="F309" t="inlineStr">
        <is>
          <t>VÄSTERBOTTENS LÄN</t>
        </is>
      </c>
      <c r="G309" t="inlineStr">
        <is>
          <t>STORUMAN</t>
        </is>
      </c>
      <c r="H309" t="inlineStr">
        <is>
          <t>Holmen skog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14803-2024</t>
        </is>
      </c>
      <c r="B310" t="inlineStr">
        <is>
          <t>avverkningsanmälan</t>
        </is>
      </c>
      <c r="C310" t="inlineStr">
        <is>
          <t>Föryngringsavverkning</t>
        </is>
      </c>
      <c r="D310" s="1" t="n">
        <v>45397</v>
      </c>
      <c r="E310" s="1" t="n">
        <v>46266</v>
      </c>
      <c r="F310" t="inlineStr">
        <is>
          <t>VÄSTERBOTTENS LÄN</t>
        </is>
      </c>
      <c r="G310" t="inlineStr">
        <is>
          <t>STORUMAN</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29747-2023</t>
        </is>
      </c>
      <c r="B311" t="inlineStr">
        <is>
          <t>avverkningsanmälan</t>
        </is>
      </c>
      <c r="C311" t="inlineStr">
        <is>
          <t>Föryngringsavverkning</t>
        </is>
      </c>
      <c r="D311" s="1" t="n">
        <v>45107</v>
      </c>
      <c r="E311" s="1" t="n">
        <v>46266</v>
      </c>
      <c r="F311" t="inlineStr">
        <is>
          <t>VÄSTERBOTTENS LÄN</t>
        </is>
      </c>
      <c r="G311" t="inlineStr">
        <is>
          <t>STORUMAN</t>
        </is>
      </c>
      <c r="H311" t="inlineStr">
        <is>
          <t>Holmen skog AB</t>
        </is>
      </c>
      <c r="I311" t="n">
        <v>13.3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2024-2024</t>
        </is>
      </c>
      <c r="B312" t="inlineStr">
        <is>
          <t>avverkningsanmälan</t>
        </is>
      </c>
      <c r="C312" t="inlineStr">
        <is>
          <t>Föryngringsavverkning</t>
        </is>
      </c>
      <c r="D312" s="1" t="n">
        <v>45308</v>
      </c>
      <c r="E312" s="1" t="n">
        <v>46266</v>
      </c>
      <c r="F312" t="inlineStr">
        <is>
          <t>VÄSTERBOTTENS LÄN</t>
        </is>
      </c>
      <c r="G312" t="inlineStr">
        <is>
          <t>STORUMAN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25018-2024</t>
        </is>
      </c>
      <c r="B313" t="inlineStr">
        <is>
          <t>avverkningsanmälan</t>
        </is>
      </c>
      <c r="C313" t="inlineStr">
        <is>
          <t>Föryngringsavverkning</t>
        </is>
      </c>
      <c r="D313" s="1" t="n">
        <v>45461</v>
      </c>
      <c r="E313" s="1" t="n">
        <v>46266</v>
      </c>
      <c r="F313" t="inlineStr">
        <is>
          <t>VÄSTERBOTTENS LÄN</t>
        </is>
      </c>
      <c r="G313" t="inlineStr">
        <is>
          <t>STORUMAN</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12802-2026</t>
        </is>
      </c>
      <c r="B314" t="inlineStr">
        <is>
          <t>avverkningsanmälan</t>
        </is>
      </c>
      <c r="C314" t="inlineStr">
        <is>
          <t>Föryngringsavverkning</t>
        </is>
      </c>
      <c r="D314" s="1" t="n">
        <v>46091</v>
      </c>
      <c r="E314" s="1" t="n">
        <v>46266</v>
      </c>
      <c r="F314" t="inlineStr">
        <is>
          <t>VÄSTERBOTTENS LÄN</t>
        </is>
      </c>
      <c r="G314" t="inlineStr">
        <is>
          <t>STORUMAN</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47135-2023</t>
        </is>
      </c>
      <c r="B315" t="inlineStr">
        <is>
          <t>avverkningsanmälan</t>
        </is>
      </c>
      <c r="C315" t="inlineStr">
        <is>
          <t>Föryngringsavverkning</t>
        </is>
      </c>
      <c r="D315" s="1" t="n">
        <v>45196</v>
      </c>
      <c r="E315" s="1" t="n">
        <v>46266</v>
      </c>
      <c r="F315" t="inlineStr">
        <is>
          <t>VÄSTERBOTTENS LÄN</t>
        </is>
      </c>
      <c r="G315" t="inlineStr">
        <is>
          <t>STORUMAN</t>
        </is>
      </c>
      <c r="I315" t="n">
        <v>30.4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47140-2023</t>
        </is>
      </c>
      <c r="B316" t="inlineStr">
        <is>
          <t>avverkningsanmälan</t>
        </is>
      </c>
      <c r="C316" t="inlineStr">
        <is>
          <t>Föryngringsavverkning</t>
        </is>
      </c>
      <c r="D316" s="1" t="n">
        <v>45196</v>
      </c>
      <c r="E316" s="1" t="n">
        <v>46266</v>
      </c>
      <c r="F316" t="inlineStr">
        <is>
          <t>VÄSTERBOTTENS LÄN</t>
        </is>
      </c>
      <c r="G316" t="inlineStr">
        <is>
          <t>STORUMAN</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21428-2026</t>
        </is>
      </c>
      <c r="B317" t="inlineStr">
        <is>
          <t>avverkningsanmälan</t>
        </is>
      </c>
      <c r="C317" t="inlineStr">
        <is>
          <t>Föryngringsavverkning</t>
        </is>
      </c>
      <c r="D317" s="1" t="n">
        <v>46148</v>
      </c>
      <c r="E317" s="1" t="n">
        <v>46266</v>
      </c>
      <c r="F317" t="inlineStr">
        <is>
          <t>VÄSTERBOTTENS LÄN</t>
        </is>
      </c>
      <c r="G317" t="inlineStr">
        <is>
          <t>STORUMAN</t>
        </is>
      </c>
      <c r="H317" t="inlineStr">
        <is>
          <t>Holmen skog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47299-2023</t>
        </is>
      </c>
      <c r="B318" t="inlineStr">
        <is>
          <t>avverkningsanmälan</t>
        </is>
      </c>
      <c r="C318" t="inlineStr">
        <is>
          <t>Föryngringsavverkning</t>
        </is>
      </c>
      <c r="D318" s="1" t="n">
        <v>45196</v>
      </c>
      <c r="E318" s="1" t="n">
        <v>46266</v>
      </c>
      <c r="F318" t="inlineStr">
        <is>
          <t>VÄSTERBOTTENS LÄN</t>
        </is>
      </c>
      <c r="G318" t="inlineStr">
        <is>
          <t>STORUMAN</t>
        </is>
      </c>
      <c r="I318" t="n">
        <v>12.3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21420-2026</t>
        </is>
      </c>
      <c r="B319" t="inlineStr">
        <is>
          <t>avverkningsanmälan</t>
        </is>
      </c>
      <c r="C319" t="inlineStr">
        <is>
          <t>Föryngringsavverkning</t>
        </is>
      </c>
      <c r="D319" s="1" t="n">
        <v>46148</v>
      </c>
      <c r="E319" s="1" t="n">
        <v>46266</v>
      </c>
      <c r="F319" t="inlineStr">
        <is>
          <t>VÄSTERBOTTENS LÄN</t>
        </is>
      </c>
      <c r="G319" t="inlineStr">
        <is>
          <t>STORUMAN</t>
        </is>
      </c>
      <c r="H319" t="inlineStr">
        <is>
          <t>Holmen skog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27585-2024</t>
        </is>
      </c>
      <c r="B320" t="inlineStr">
        <is>
          <t>avverkningsanmälan</t>
        </is>
      </c>
      <c r="C320" t="inlineStr">
        <is>
          <t>Föryngringsavverkning</t>
        </is>
      </c>
      <c r="D320" s="1" t="n">
        <v>45474</v>
      </c>
      <c r="E320" s="1" t="n">
        <v>46266</v>
      </c>
      <c r="F320" t="inlineStr">
        <is>
          <t>VÄSTERBOTTENS LÄN</t>
        </is>
      </c>
      <c r="G320" t="inlineStr">
        <is>
          <t>STORUMAN</t>
        </is>
      </c>
      <c r="H320" t="inlineStr">
        <is>
          <t>Sveaskog</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18366-2022</t>
        </is>
      </c>
      <c r="B321" t="inlineStr">
        <is>
          <t>avverkningsanmälan</t>
        </is>
      </c>
      <c r="C321" t="inlineStr">
        <is>
          <t>Föryngringsavverkning</t>
        </is>
      </c>
      <c r="D321" s="1" t="n">
        <v>44685</v>
      </c>
      <c r="E321" s="1" t="n">
        <v>46266</v>
      </c>
      <c r="F321" t="inlineStr">
        <is>
          <t>VÄSTERBOTTENS LÄN</t>
        </is>
      </c>
      <c r="G321" t="inlineStr">
        <is>
          <t>STORUMAN</t>
        </is>
      </c>
      <c r="I321" t="n">
        <v>19.6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52214-2025</t>
        </is>
      </c>
      <c r="B322" t="inlineStr">
        <is>
          <t>avverkningsanmälan</t>
        </is>
      </c>
      <c r="C322" t="inlineStr">
        <is>
          <t>Föryngringsavverkning</t>
        </is>
      </c>
      <c r="D322" s="1" t="n">
        <v>45953</v>
      </c>
      <c r="E322" s="1" t="n">
        <v>46266</v>
      </c>
      <c r="F322" t="inlineStr">
        <is>
          <t>VÄSTERBOTTENS LÄN</t>
        </is>
      </c>
      <c r="G322" t="inlineStr">
        <is>
          <t>STORUMAN</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25818-2024</t>
        </is>
      </c>
      <c r="B323" t="inlineStr">
        <is>
          <t>avverkningsanmälan</t>
        </is>
      </c>
      <c r="C323" t="inlineStr">
        <is>
          <t>Föryngringsavverkning</t>
        </is>
      </c>
      <c r="D323" s="1" t="n">
        <v>45467</v>
      </c>
      <c r="E323" s="1" t="n">
        <v>46266</v>
      </c>
      <c r="F323" t="inlineStr">
        <is>
          <t>VÄSTERBOTTENS LÄN</t>
        </is>
      </c>
      <c r="G323" t="inlineStr">
        <is>
          <t>STORUMAN</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25262-2024</t>
        </is>
      </c>
      <c r="B324" t="inlineStr">
        <is>
          <t>avverkningsanmälan</t>
        </is>
      </c>
      <c r="C324" t="inlineStr">
        <is>
          <t>Föryngringsavverkning</t>
        </is>
      </c>
      <c r="D324" s="1" t="n">
        <v>45462</v>
      </c>
      <c r="E324" s="1" t="n">
        <v>46266</v>
      </c>
      <c r="F324" t="inlineStr">
        <is>
          <t>VÄSTERBOTTENS LÄN</t>
        </is>
      </c>
      <c r="G324" t="inlineStr">
        <is>
          <t>STORUMAN</t>
        </is>
      </c>
      <c r="I324" t="n">
        <v>17.4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14956-2023</t>
        </is>
      </c>
      <c r="B325" t="inlineStr">
        <is>
          <t>avverkningsanmälan</t>
        </is>
      </c>
      <c r="C325" t="inlineStr">
        <is>
          <t>Föryngringsavverkning</t>
        </is>
      </c>
      <c r="D325" s="1" t="n">
        <v>45014</v>
      </c>
      <c r="E325" s="1" t="n">
        <v>46266</v>
      </c>
      <c r="F325" t="inlineStr">
        <is>
          <t>VÄSTERBOTTENS LÄN</t>
        </is>
      </c>
      <c r="G325" t="inlineStr">
        <is>
          <t>STORUMAN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23243-2026</t>
        </is>
      </c>
      <c r="B326" t="inlineStr">
        <is>
          <t>avverkningsanmälan</t>
        </is>
      </c>
      <c r="C326" t="inlineStr">
        <is>
          <t>Föryngringsavverkning</t>
        </is>
      </c>
      <c r="D326" s="1" t="n">
        <v>46162</v>
      </c>
      <c r="E326" s="1" t="n">
        <v>46266</v>
      </c>
      <c r="F326" t="inlineStr">
        <is>
          <t>VÄSTERBOTTENS LÄN</t>
        </is>
      </c>
      <c r="G326" t="inlineStr">
        <is>
          <t>STORUMAN</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23616-2026</t>
        </is>
      </c>
      <c r="B327" t="inlineStr">
        <is>
          <t>avverkningsanmälan</t>
        </is>
      </c>
      <c r="C327" t="inlineStr">
        <is>
          <t>Föryngringsavverkning</t>
        </is>
      </c>
      <c r="D327" s="1" t="n">
        <v>46162</v>
      </c>
      <c r="E327" s="1" t="n">
        <v>46266</v>
      </c>
      <c r="F327" t="inlineStr">
        <is>
          <t>VÄSTERBOTTENS LÄN</t>
        </is>
      </c>
      <c r="G327" t="inlineStr">
        <is>
          <t>STORUMAN</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46080-2022</t>
        </is>
      </c>
      <c r="B328" t="inlineStr">
        <is>
          <t>avverkningsanmälan</t>
        </is>
      </c>
      <c r="C328" t="inlineStr">
        <is>
          <t>Föryngringsavverkning</t>
        </is>
      </c>
      <c r="D328" s="1" t="n">
        <v>44845</v>
      </c>
      <c r="E328" s="1" t="n">
        <v>46266</v>
      </c>
      <c r="F328" t="inlineStr">
        <is>
          <t>VÄSTERBOTTENS LÄN</t>
        </is>
      </c>
      <c r="G328" t="inlineStr">
        <is>
          <t>STORUMAN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5908-2024</t>
        </is>
      </c>
      <c r="B329" t="inlineStr">
        <is>
          <t>avverkningsanmälan</t>
        </is>
      </c>
      <c r="C329" t="inlineStr">
        <is>
          <t>Föryngringsavverkning</t>
        </is>
      </c>
      <c r="D329" s="1" t="n">
        <v>45335</v>
      </c>
      <c r="E329" s="1" t="n">
        <v>46266</v>
      </c>
      <c r="F329" t="inlineStr">
        <is>
          <t>VÄSTERBOTTENS LÄN</t>
        </is>
      </c>
      <c r="G329" t="inlineStr">
        <is>
          <t>STORUMAN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24094-2026</t>
        </is>
      </c>
      <c r="B330" t="inlineStr">
        <is>
          <t>avverkningsanmälan</t>
        </is>
      </c>
      <c r="C330" t="inlineStr">
        <is>
          <t>Föryngringsavverkning</t>
        </is>
      </c>
      <c r="D330" s="1" t="n">
        <v>46168</v>
      </c>
      <c r="E330" s="1" t="n">
        <v>46266</v>
      </c>
      <c r="F330" t="inlineStr">
        <is>
          <t>VÄSTERBOTTENS LÄN</t>
        </is>
      </c>
      <c r="G330" t="inlineStr">
        <is>
          <t>STORUMAN</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24821-2026</t>
        </is>
      </c>
      <c r="B331" t="inlineStr">
        <is>
          <t>avverkningsanmälan</t>
        </is>
      </c>
      <c r="C331" t="inlineStr">
        <is>
          <t>Föryngringsavverkning</t>
        </is>
      </c>
      <c r="D331" s="1" t="n">
        <v>46174</v>
      </c>
      <c r="E331" s="1" t="n">
        <v>46266</v>
      </c>
      <c r="F331" t="inlineStr">
        <is>
          <t>VÄSTERBOTTENS LÄN</t>
        </is>
      </c>
      <c r="G331" t="inlineStr">
        <is>
          <t>STORUMAN</t>
        </is>
      </c>
      <c r="H331" t="inlineStr">
        <is>
          <t>Holmen skog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39260-2024</t>
        </is>
      </c>
      <c r="B332" t="inlineStr">
        <is>
          <t>avverkningsanmälan</t>
        </is>
      </c>
      <c r="C332" t="inlineStr">
        <is>
          <t>Föryngringsavverkning</t>
        </is>
      </c>
      <c r="D332" s="1" t="n">
        <v>45551</v>
      </c>
      <c r="E332" s="1" t="n">
        <v>46266</v>
      </c>
      <c r="F332" t="inlineStr">
        <is>
          <t>VÄSTERBOTTENS LÄN</t>
        </is>
      </c>
      <c r="G332" t="inlineStr">
        <is>
          <t>STORUMAN</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14185-2022</t>
        </is>
      </c>
      <c r="B333" t="inlineStr">
        <is>
          <t>avverkningsanmälan</t>
        </is>
      </c>
      <c r="C333" t="inlineStr">
        <is>
          <t>Föryngringsavverkning</t>
        </is>
      </c>
      <c r="D333" s="1" t="n">
        <v>44650</v>
      </c>
      <c r="E333" s="1" t="n">
        <v>46266</v>
      </c>
      <c r="F333" t="inlineStr">
        <is>
          <t>VÄSTERBOTTENS LÄN</t>
        </is>
      </c>
      <c r="G333" t="inlineStr">
        <is>
          <t>STORUMAN</t>
        </is>
      </c>
      <c r="H333" t="inlineStr">
        <is>
          <t>Övriga statliga verk och myndigheter</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22816-2026</t>
        </is>
      </c>
      <c r="B334" t="inlineStr">
        <is>
          <t>avverkningsanmälan</t>
        </is>
      </c>
      <c r="C334" t="inlineStr">
        <is>
          <t>Föryngringsavverkning</t>
        </is>
      </c>
      <c r="D334" s="1" t="n">
        <v>46160</v>
      </c>
      <c r="E334" s="1" t="n">
        <v>46266</v>
      </c>
      <c r="F334" t="inlineStr">
        <is>
          <t>VÄSTERBOTTENS LÄN</t>
        </is>
      </c>
      <c r="G334" t="inlineStr">
        <is>
          <t>STORUMAN</t>
        </is>
      </c>
      <c r="I334" t="n">
        <v>21.9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46065-2022</t>
        </is>
      </c>
      <c r="B335" t="inlineStr">
        <is>
          <t>avverkningsanmälan</t>
        </is>
      </c>
      <c r="C335" t="inlineStr">
        <is>
          <t>Föryngringsavverkning</t>
        </is>
      </c>
      <c r="D335" s="1" t="n">
        <v>44844</v>
      </c>
      <c r="E335" s="1" t="n">
        <v>46266</v>
      </c>
      <c r="F335" t="inlineStr">
        <is>
          <t>VÄSTERBOTTENS LÄN</t>
        </is>
      </c>
      <c r="G335" t="inlineStr">
        <is>
          <t>STORUMAN</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2794-2022</t>
        </is>
      </c>
      <c r="B336" t="inlineStr">
        <is>
          <t>avverkningsanmälan</t>
        </is>
      </c>
      <c r="C336" t="inlineStr">
        <is>
          <t>Föryngringsavverkning</t>
        </is>
      </c>
      <c r="D336" s="1" t="n">
        <v>44580</v>
      </c>
      <c r="E336" s="1" t="n">
        <v>46266</v>
      </c>
      <c r="F336" t="inlineStr">
        <is>
          <t>VÄSTERBOTTENS LÄN</t>
        </is>
      </c>
      <c r="G336" t="inlineStr">
        <is>
          <t>STORUMAN</t>
        </is>
      </c>
      <c r="I336" t="n">
        <v>12.5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19326-2023</t>
        </is>
      </c>
      <c r="B337" t="inlineStr">
        <is>
          <t>avverkningsanmälan</t>
        </is>
      </c>
      <c r="C337" t="inlineStr">
        <is>
          <t>Avverkning för annat ändamål</t>
        </is>
      </c>
      <c r="D337" s="1" t="n">
        <v>45049</v>
      </c>
      <c r="E337" s="1" t="n">
        <v>46266</v>
      </c>
      <c r="F337" t="inlineStr">
        <is>
          <t>VÄSTERBOTTENS LÄN</t>
        </is>
      </c>
      <c r="G337" t="inlineStr">
        <is>
          <t>STORUMAN</t>
        </is>
      </c>
      <c r="I337" t="n">
        <v>35.3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59359-2022</t>
        </is>
      </c>
      <c r="B338" t="inlineStr">
        <is>
          <t>avverkningsanmälan</t>
        </is>
      </c>
      <c r="C338" t="inlineStr">
        <is>
          <t>Föryngringsavverkning</t>
        </is>
      </c>
      <c r="D338" s="1" t="n">
        <v>44904</v>
      </c>
      <c r="E338" s="1" t="n">
        <v>46266</v>
      </c>
      <c r="F338" t="inlineStr">
        <is>
          <t>VÄSTERBOTTENS LÄN</t>
        </is>
      </c>
      <c r="G338" t="inlineStr">
        <is>
          <t>STORUMAN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52552-2024</t>
        </is>
      </c>
      <c r="B339" t="inlineStr">
        <is>
          <t>avverkningsanmälan</t>
        </is>
      </c>
      <c r="C339" t="inlineStr">
        <is>
          <t>Föryngringsavverkning</t>
        </is>
      </c>
      <c r="D339" s="1" t="n">
        <v>45609</v>
      </c>
      <c r="E339" s="1" t="n">
        <v>46266</v>
      </c>
      <c r="F339" t="inlineStr">
        <is>
          <t>VÄSTERBOTTENS LÄN</t>
        </is>
      </c>
      <c r="G339" t="inlineStr">
        <is>
          <t>STORUMAN</t>
        </is>
      </c>
      <c r="H339" t="inlineStr">
        <is>
          <t>Sveaskog</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26351-2026</t>
        </is>
      </c>
      <c r="B340" t="inlineStr">
        <is>
          <t>avverkningsanmälan</t>
        </is>
      </c>
      <c r="C340" t="inlineStr">
        <is>
          <t>Föryngringsavverkning</t>
        </is>
      </c>
      <c r="D340" s="1" t="n">
        <v>46182</v>
      </c>
      <c r="E340" s="1" t="n">
        <v>46266</v>
      </c>
      <c r="F340" t="inlineStr">
        <is>
          <t>VÄSTERBOTTENS LÄN</t>
        </is>
      </c>
      <c r="G340" t="inlineStr">
        <is>
          <t>STORUMAN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56296-2023</t>
        </is>
      </c>
      <c r="B341" t="inlineStr">
        <is>
          <t>avverkningsanmälan</t>
        </is>
      </c>
      <c r="C341" t="inlineStr">
        <is>
          <t>Föryngringsavverkning</t>
        </is>
      </c>
      <c r="D341" s="1" t="n">
        <v>45242</v>
      </c>
      <c r="E341" s="1" t="n">
        <v>46266</v>
      </c>
      <c r="F341" t="inlineStr">
        <is>
          <t>VÄSTERBOTTENS LÄN</t>
        </is>
      </c>
      <c r="G341" t="inlineStr">
        <is>
          <t>STORUMAN</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26024-2026</t>
        </is>
      </c>
      <c r="B342" t="inlineStr">
        <is>
          <t>avverkningsanmälan</t>
        </is>
      </c>
      <c r="C342" t="inlineStr">
        <is>
          <t>Föryngringsavverkning</t>
        </is>
      </c>
      <c r="D342" s="1" t="n">
        <v>46181</v>
      </c>
      <c r="E342" s="1" t="n">
        <v>46266</v>
      </c>
      <c r="F342" t="inlineStr">
        <is>
          <t>VÄSTERBOTTENS LÄN</t>
        </is>
      </c>
      <c r="G342" t="inlineStr">
        <is>
          <t>STORUMAN</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50915-2022</t>
        </is>
      </c>
      <c r="B343" t="inlineStr">
        <is>
          <t>avverkningsanmälan</t>
        </is>
      </c>
      <c r="C343" t="inlineStr">
        <is>
          <t>Föryngringsavverkning</t>
        </is>
      </c>
      <c r="D343" s="1" t="n">
        <v>44867</v>
      </c>
      <c r="E343" s="1" t="n">
        <v>46266</v>
      </c>
      <c r="F343" t="inlineStr">
        <is>
          <t>VÄSTERBOTTENS LÄN</t>
        </is>
      </c>
      <c r="G343" t="inlineStr">
        <is>
          <t>STORUMAN</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26046-2026</t>
        </is>
      </c>
      <c r="B344" t="inlineStr">
        <is>
          <t>avverkningsanmälan</t>
        </is>
      </c>
      <c r="C344" t="inlineStr">
        <is>
          <t>Föryngringsavverkning</t>
        </is>
      </c>
      <c r="D344" s="1" t="n">
        <v>46181</v>
      </c>
      <c r="E344" s="1" t="n">
        <v>46266</v>
      </c>
      <c r="F344" t="inlineStr">
        <is>
          <t>VÄSTERBOTTENS LÄN</t>
        </is>
      </c>
      <c r="G344" t="inlineStr">
        <is>
          <t>STORUMAN</t>
        </is>
      </c>
      <c r="I344" t="n">
        <v>29.6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26353-2026</t>
        </is>
      </c>
      <c r="B345" t="inlineStr">
        <is>
          <t>avverkningsanmälan</t>
        </is>
      </c>
      <c r="C345" t="inlineStr">
        <is>
          <t>Föryngringsavverkning</t>
        </is>
      </c>
      <c r="D345" s="1" t="n">
        <v>46182</v>
      </c>
      <c r="E345" s="1" t="n">
        <v>46266</v>
      </c>
      <c r="F345" t="inlineStr">
        <is>
          <t>VÄSTERBOTTENS LÄN</t>
        </is>
      </c>
      <c r="G345" t="inlineStr">
        <is>
          <t>STORUMAN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26352-2026</t>
        </is>
      </c>
      <c r="B346" t="inlineStr">
        <is>
          <t>avverkningsanmälan</t>
        </is>
      </c>
      <c r="C346" t="inlineStr">
        <is>
          <t>Föryngringsavverkning</t>
        </is>
      </c>
      <c r="D346" s="1" t="n">
        <v>46182</v>
      </c>
      <c r="E346" s="1" t="n">
        <v>46266</v>
      </c>
      <c r="F346" t="inlineStr">
        <is>
          <t>VÄSTERBOTTENS LÄN</t>
        </is>
      </c>
      <c r="G346" t="inlineStr">
        <is>
          <t>STORUMAN</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7710-2023</t>
        </is>
      </c>
      <c r="B347" t="inlineStr">
        <is>
          <t>avverkningsanmälan</t>
        </is>
      </c>
      <c r="C347" t="inlineStr">
        <is>
          <t>Föryngringsavverkning</t>
        </is>
      </c>
      <c r="D347" s="1" t="n">
        <v>44972</v>
      </c>
      <c r="E347" s="1" t="n">
        <v>46266</v>
      </c>
      <c r="F347" t="inlineStr">
        <is>
          <t>VÄSTERBOTTENS LÄN</t>
        </is>
      </c>
      <c r="G347" t="inlineStr">
        <is>
          <t>STORUMAN</t>
        </is>
      </c>
      <c r="I347" t="n">
        <v>30.5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27112-2026</t>
        </is>
      </c>
      <c r="B348" t="inlineStr">
        <is>
          <t>avverkningsanmälan</t>
        </is>
      </c>
      <c r="C348" t="inlineStr">
        <is>
          <t>Föryngringsavverkning</t>
        </is>
      </c>
      <c r="D348" s="1" t="n">
        <v>46188</v>
      </c>
      <c r="E348" s="1" t="n">
        <v>46266</v>
      </c>
      <c r="F348" t="inlineStr">
        <is>
          <t>VÄSTERBOTTENS LÄN</t>
        </is>
      </c>
      <c r="G348" t="inlineStr">
        <is>
          <t>STORUMAN</t>
        </is>
      </c>
      <c r="I348" t="n">
        <v>12.7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26903-2026</t>
        </is>
      </c>
      <c r="B349" t="inlineStr">
        <is>
          <t>avverkningsanmälan</t>
        </is>
      </c>
      <c r="C349" t="inlineStr">
        <is>
          <t>Föryngringsavverkning</t>
        </is>
      </c>
      <c r="D349" s="1" t="n">
        <v>46185</v>
      </c>
      <c r="E349" s="1" t="n">
        <v>46266</v>
      </c>
      <c r="F349" t="inlineStr">
        <is>
          <t>VÄSTERBOTTENS LÄN</t>
        </is>
      </c>
      <c r="G349" t="inlineStr">
        <is>
          <t>STORUMAN</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27742-2026</t>
        </is>
      </c>
      <c r="B350" t="inlineStr">
        <is>
          <t>avverkningsanmälan</t>
        </is>
      </c>
      <c r="C350" t="inlineStr">
        <is>
          <t>Föryngringsavverkning</t>
        </is>
      </c>
      <c r="D350" s="1" t="n">
        <v>46191</v>
      </c>
      <c r="E350" s="1" t="n">
        <v>46266</v>
      </c>
      <c r="F350" t="inlineStr">
        <is>
          <t>VÄSTERBOTTENS LÄN</t>
        </is>
      </c>
      <c r="G350" t="inlineStr">
        <is>
          <t>STORUMAN</t>
        </is>
      </c>
      <c r="H350" t="inlineStr">
        <is>
          <t>Holmen skog AB</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27744-2026</t>
        </is>
      </c>
      <c r="B351" t="inlineStr">
        <is>
          <t>avverkningsanmälan</t>
        </is>
      </c>
      <c r="C351" t="inlineStr">
        <is>
          <t>Föryngringsavverkning</t>
        </is>
      </c>
      <c r="D351" s="1" t="n">
        <v>46191</v>
      </c>
      <c r="E351" s="1" t="n">
        <v>46266</v>
      </c>
      <c r="F351" t="inlineStr">
        <is>
          <t>VÄSTERBOTTENS LÄN</t>
        </is>
      </c>
      <c r="G351" t="inlineStr">
        <is>
          <t>STORUMAN</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28713-2022</t>
        </is>
      </c>
      <c r="B352" t="inlineStr">
        <is>
          <t>avverkningsanmälan</t>
        </is>
      </c>
      <c r="C352" t="inlineStr">
        <is>
          <t>Föryngringsavverkning</t>
        </is>
      </c>
      <c r="D352" s="1" t="n">
        <v>44748</v>
      </c>
      <c r="E352" s="1" t="n">
        <v>46266</v>
      </c>
      <c r="F352" t="inlineStr">
        <is>
          <t>VÄSTERBOTTENS LÄN</t>
        </is>
      </c>
      <c r="G352" t="inlineStr">
        <is>
          <t>STORUMAN</t>
        </is>
      </c>
      <c r="I352" t="n">
        <v>14.9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17971-2025</t>
        </is>
      </c>
      <c r="B353" t="inlineStr">
        <is>
          <t>avverkningsanmälan</t>
        </is>
      </c>
      <c r="C353" t="inlineStr">
        <is>
          <t>Avverkning för annat ändamål</t>
        </is>
      </c>
      <c r="D353" s="1" t="n">
        <v>45761</v>
      </c>
      <c r="E353" s="1" t="n">
        <v>46266</v>
      </c>
      <c r="F353" t="inlineStr">
        <is>
          <t>VÄSTERBOTTENS LÄN</t>
        </is>
      </c>
      <c r="G353" t="inlineStr">
        <is>
          <t>STORUMAN</t>
        </is>
      </c>
      <c r="H353" t="inlineStr">
        <is>
          <t>Allmännings- och besparingsskogar</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6760-2023</t>
        </is>
      </c>
      <c r="B354" t="inlineStr">
        <is>
          <t>avverkningsanmälan</t>
        </is>
      </c>
      <c r="C354" t="inlineStr">
        <is>
          <t>Föryngringsavverkning</t>
        </is>
      </c>
      <c r="D354" s="1" t="n">
        <v>44966</v>
      </c>
      <c r="E354" s="1" t="n">
        <v>46266</v>
      </c>
      <c r="F354" t="inlineStr">
        <is>
          <t>VÄSTERBOTTENS LÄN</t>
        </is>
      </c>
      <c r="G354" t="inlineStr">
        <is>
          <t>STORUMAN</t>
        </is>
      </c>
      <c r="H354" t="inlineStr">
        <is>
          <t>Sveaskog</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14661-2023</t>
        </is>
      </c>
      <c r="B355" t="inlineStr">
        <is>
          <t>avverkningsanmälan</t>
        </is>
      </c>
      <c r="C355" t="inlineStr">
        <is>
          <t>Avverkning för annat ändamål</t>
        </is>
      </c>
      <c r="D355" s="1" t="n">
        <v>45013</v>
      </c>
      <c r="E355" s="1" t="n">
        <v>46266</v>
      </c>
      <c r="F355" t="inlineStr">
        <is>
          <t>VÄSTERBOTTENS LÄN</t>
        </is>
      </c>
      <c r="G355" t="inlineStr">
        <is>
          <t>STORUMAN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40111-2023</t>
        </is>
      </c>
      <c r="B356" t="inlineStr">
        <is>
          <t>avverkningsanmälan</t>
        </is>
      </c>
      <c r="C356" t="inlineStr">
        <is>
          <t>Föryngringsavverkning</t>
        </is>
      </c>
      <c r="D356" s="1" t="n">
        <v>45168</v>
      </c>
      <c r="E356" s="1" t="n">
        <v>46266</v>
      </c>
      <c r="F356" t="inlineStr">
        <is>
          <t>VÄSTERBOTTENS LÄN</t>
        </is>
      </c>
      <c r="G356" t="inlineStr">
        <is>
          <t>STORUMAN</t>
        </is>
      </c>
      <c r="H356" t="inlineStr">
        <is>
          <t>SCA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21662-2025</t>
        </is>
      </c>
      <c r="B357" t="inlineStr">
        <is>
          <t>avverkningsanmälan</t>
        </is>
      </c>
      <c r="C357" t="inlineStr">
        <is>
          <t>Föryngringsavverkning</t>
        </is>
      </c>
      <c r="D357" s="1" t="n">
        <v>45783</v>
      </c>
      <c r="E357" s="1" t="n">
        <v>46266</v>
      </c>
      <c r="F357" t="inlineStr">
        <is>
          <t>VÄSTERBOTTENS LÄN</t>
        </is>
      </c>
      <c r="G357" t="inlineStr">
        <is>
          <t>STORUMAN</t>
        </is>
      </c>
      <c r="I357" t="n">
        <v>47.2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56533-2021</t>
        </is>
      </c>
      <c r="B358" t="inlineStr">
        <is>
          <t>avverkningsanmälan</t>
        </is>
      </c>
      <c r="C358" t="inlineStr">
        <is>
          <t>Föryngringsavverkning</t>
        </is>
      </c>
      <c r="D358" s="1" t="n">
        <v>44480</v>
      </c>
      <c r="E358" s="1" t="n">
        <v>46266</v>
      </c>
      <c r="F358" t="inlineStr">
        <is>
          <t>VÄSTERBOTTENS LÄN</t>
        </is>
      </c>
      <c r="G358" t="inlineStr">
        <is>
          <t>STORUMAN</t>
        </is>
      </c>
      <c r="I358" t="n">
        <v>19.4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32630-2026</t>
        </is>
      </c>
      <c r="B359" t="inlineStr">
        <is>
          <t>avverkningsanmälan</t>
        </is>
      </c>
      <c r="C359" t="inlineStr">
        <is>
          <t>Föryngringsavverkning</t>
        </is>
      </c>
      <c r="D359" s="1" t="n">
        <v>46240</v>
      </c>
      <c r="E359" s="1" t="n">
        <v>46266</v>
      </c>
      <c r="F359" t="inlineStr">
        <is>
          <t>VÄSTERBOTTENS LÄN</t>
        </is>
      </c>
      <c r="G359" t="inlineStr">
        <is>
          <t>STORUMAN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32657-2026</t>
        </is>
      </c>
      <c r="B360" t="inlineStr">
        <is>
          <t>avverkningsanmälan</t>
        </is>
      </c>
      <c r="C360" t="inlineStr">
        <is>
          <t>Föryngringsavverkning</t>
        </is>
      </c>
      <c r="D360" s="1" t="n">
        <v>46240</v>
      </c>
      <c r="E360" s="1" t="n">
        <v>46266</v>
      </c>
      <c r="F360" t="inlineStr">
        <is>
          <t>VÄSTERBOTTENS LÄN</t>
        </is>
      </c>
      <c r="G360" t="inlineStr">
        <is>
          <t>STORUMAN</t>
        </is>
      </c>
      <c r="I360" t="n">
        <v>9.199999999999999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32753-2026</t>
        </is>
      </c>
      <c r="B361" t="inlineStr">
        <is>
          <t>avverkningsanmälan</t>
        </is>
      </c>
      <c r="C361" t="inlineStr">
        <is>
          <t>Föryngringsavverkning</t>
        </is>
      </c>
      <c r="D361" s="1" t="n">
        <v>46241</v>
      </c>
      <c r="E361" s="1" t="n">
        <v>46266</v>
      </c>
      <c r="F361" t="inlineStr">
        <is>
          <t>VÄSTERBOTTENS LÄN</t>
        </is>
      </c>
      <c r="G361" t="inlineStr">
        <is>
          <t>STORUMAN</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32759-2026</t>
        </is>
      </c>
      <c r="B362" t="inlineStr">
        <is>
          <t>avverkningsanmälan</t>
        </is>
      </c>
      <c r="C362" t="inlineStr">
        <is>
          <t>Föryngringsavverkning</t>
        </is>
      </c>
      <c r="D362" s="1" t="n">
        <v>46241</v>
      </c>
      <c r="E362" s="1" t="n">
        <v>46266</v>
      </c>
      <c r="F362" t="inlineStr">
        <is>
          <t>VÄSTERBOTTENS LÄN</t>
        </is>
      </c>
      <c r="G362" t="inlineStr">
        <is>
          <t>STORUMAN</t>
        </is>
      </c>
      <c r="I362" t="n">
        <v>11.3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28432-2026</t>
        </is>
      </c>
      <c r="B363" t="inlineStr">
        <is>
          <t>avverkningsanmälan</t>
        </is>
      </c>
      <c r="C363" t="inlineStr">
        <is>
          <t>Föryngringsavverkning</t>
        </is>
      </c>
      <c r="D363" s="1" t="n">
        <v>46197</v>
      </c>
      <c r="E363" s="1" t="n">
        <v>46266</v>
      </c>
      <c r="F363" t="inlineStr">
        <is>
          <t>VÄSTERBOTTENS LÄN</t>
        </is>
      </c>
      <c r="G363" t="inlineStr">
        <is>
          <t>STORUMAN</t>
        </is>
      </c>
      <c r="H363" t="inlineStr">
        <is>
          <t>Holmen skog AB</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32658-2026</t>
        </is>
      </c>
      <c r="B364" t="inlineStr">
        <is>
          <t>avverkningsanmälan</t>
        </is>
      </c>
      <c r="C364" t="inlineStr">
        <is>
          <t>Föryngringsavverkning</t>
        </is>
      </c>
      <c r="D364" s="1" t="n">
        <v>46240</v>
      </c>
      <c r="E364" s="1" t="n">
        <v>46266</v>
      </c>
      <c r="F364" t="inlineStr">
        <is>
          <t>VÄSTERBOTTENS LÄN</t>
        </is>
      </c>
      <c r="G364" t="inlineStr">
        <is>
          <t>STORUMAN</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32754-2026</t>
        </is>
      </c>
      <c r="B365" t="inlineStr">
        <is>
          <t>avverkningsanmälan</t>
        </is>
      </c>
      <c r="C365" t="inlineStr">
        <is>
          <t>Föryngringsavverkning</t>
        </is>
      </c>
      <c r="D365" s="1" t="n">
        <v>46241</v>
      </c>
      <c r="E365" s="1" t="n">
        <v>46266</v>
      </c>
      <c r="F365" t="inlineStr">
        <is>
          <t>VÄSTERBOTTENS LÄN</t>
        </is>
      </c>
      <c r="G365" t="inlineStr">
        <is>
          <t>STORUMAN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32247-2026</t>
        </is>
      </c>
      <c r="B366" t="inlineStr">
        <is>
          <t>avverkningsanmälan</t>
        </is>
      </c>
      <c r="C366" t="inlineStr">
        <is>
          <t>Avverkning för annat ändamål</t>
        </is>
      </c>
      <c r="D366" s="1" t="n">
        <v>46237</v>
      </c>
      <c r="E366" s="1" t="n">
        <v>46266</v>
      </c>
      <c r="F366" t="inlineStr">
        <is>
          <t>VÄSTERBOTTENS LÄN</t>
        </is>
      </c>
      <c r="G366" t="inlineStr">
        <is>
          <t>STORUMAN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15384-2024</t>
        </is>
      </c>
      <c r="B367" t="inlineStr">
        <is>
          <t>avverkningsanmälan</t>
        </is>
      </c>
      <c r="C367" t="inlineStr">
        <is>
          <t>Föryngringsavverkning</t>
        </is>
      </c>
      <c r="D367" s="1" t="n">
        <v>45400</v>
      </c>
      <c r="E367" s="1" t="n">
        <v>46266</v>
      </c>
      <c r="F367" t="inlineStr">
        <is>
          <t>VÄSTERBOTTENS LÄN</t>
        </is>
      </c>
      <c r="G367" t="inlineStr">
        <is>
          <t>STORUMAN</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29472-2026</t>
        </is>
      </c>
      <c r="B368" t="inlineStr">
        <is>
          <t>avverkningsanmälan</t>
        </is>
      </c>
      <c r="C368" t="inlineStr">
        <is>
          <t>Avverkning för att bevara och utveckla /försöksver</t>
        </is>
      </c>
      <c r="D368" s="1" t="n">
        <v>46203</v>
      </c>
      <c r="E368" s="1" t="n">
        <v>46266</v>
      </c>
      <c r="F368" t="inlineStr">
        <is>
          <t>VÄSTERBOTTENS LÄN</t>
        </is>
      </c>
      <c r="G368" t="inlineStr">
        <is>
          <t>STORUMAN</t>
        </is>
      </c>
      <c r="H368" t="inlineStr">
        <is>
          <t>SCA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29474-2026</t>
        </is>
      </c>
      <c r="B369" t="inlineStr">
        <is>
          <t>avverkningsanmälan</t>
        </is>
      </c>
      <c r="C369" t="inlineStr">
        <is>
          <t>Avverkning för att bevara och utveckla /försöksver</t>
        </is>
      </c>
      <c r="D369" s="1" t="n">
        <v>46203</v>
      </c>
      <c r="E369" s="1" t="n">
        <v>46266</v>
      </c>
      <c r="F369" t="inlineStr">
        <is>
          <t>VÄSTERBOTTENS LÄN</t>
        </is>
      </c>
      <c r="G369" t="inlineStr">
        <is>
          <t>STORUMAN</t>
        </is>
      </c>
      <c r="H369" t="inlineStr">
        <is>
          <t>SCA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33334-2026</t>
        </is>
      </c>
      <c r="B370" t="inlineStr">
        <is>
          <t>avverkningsanmälan</t>
        </is>
      </c>
      <c r="C370" t="inlineStr">
        <is>
          <t>Föryngringsavverkning</t>
        </is>
      </c>
      <c r="D370" s="1" t="n">
        <v>46246</v>
      </c>
      <c r="E370" s="1" t="n">
        <v>46266</v>
      </c>
      <c r="F370" t="inlineStr">
        <is>
          <t>VÄSTERBOTTENS LÄN</t>
        </is>
      </c>
      <c r="G370" t="inlineStr">
        <is>
          <t>STORUMAN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32809-2026</t>
        </is>
      </c>
      <c r="B371" t="inlineStr">
        <is>
          <t>avverkningsanmälan</t>
        </is>
      </c>
      <c r="C371" t="inlineStr">
        <is>
          <t>Föryngringsavverkning</t>
        </is>
      </c>
      <c r="D371" s="1" t="n">
        <v>46241</v>
      </c>
      <c r="E371" s="1" t="n">
        <v>46266</v>
      </c>
      <c r="F371" t="inlineStr">
        <is>
          <t>VÄSTERBOTTENS LÄN</t>
        </is>
      </c>
      <c r="G371" t="inlineStr">
        <is>
          <t>STORUMAN</t>
        </is>
      </c>
      <c r="H371" t="inlineStr">
        <is>
          <t>Sveaskog</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30123-2026</t>
        </is>
      </c>
      <c r="B372" t="inlineStr">
        <is>
          <t>avverkningsanmälan</t>
        </is>
      </c>
      <c r="C372" t="inlineStr">
        <is>
          <t>Föryngringsavverkning</t>
        </is>
      </c>
      <c r="D372" s="1" t="n">
        <v>46206</v>
      </c>
      <c r="E372" s="1" t="n">
        <v>46266</v>
      </c>
      <c r="F372" t="inlineStr">
        <is>
          <t>VÄSTERBOTTENS LÄN</t>
        </is>
      </c>
      <c r="G372" t="inlineStr">
        <is>
          <t>STORUMAN</t>
        </is>
      </c>
      <c r="H372" t="inlineStr">
        <is>
          <t>Sveaskog</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29888-2026</t>
        </is>
      </c>
      <c r="B373" t="inlineStr">
        <is>
          <t>avverkningsanmälan</t>
        </is>
      </c>
      <c r="C373" t="inlineStr">
        <is>
          <t>Föryngringsavverkning</t>
        </is>
      </c>
      <c r="D373" s="1" t="n">
        <v>46205</v>
      </c>
      <c r="E373" s="1" t="n">
        <v>46266</v>
      </c>
      <c r="F373" t="inlineStr">
        <is>
          <t>VÄSTERBOTTENS LÄN</t>
        </is>
      </c>
      <c r="G373" t="inlineStr">
        <is>
          <t>STORUMAN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30226-2026</t>
        </is>
      </c>
      <c r="B374" t="inlineStr">
        <is>
          <t>avverkningsanmälan</t>
        </is>
      </c>
      <c r="C374" t="inlineStr">
        <is>
          <t>Föryngringsavverkning</t>
        </is>
      </c>
      <c r="D374" s="1" t="n">
        <v>46206</v>
      </c>
      <c r="E374" s="1" t="n">
        <v>46266</v>
      </c>
      <c r="F374" t="inlineStr">
        <is>
          <t>VÄSTERBOTTENS LÄN</t>
        </is>
      </c>
      <c r="G374" t="inlineStr">
        <is>
          <t>STORUMAN</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30144-2026</t>
        </is>
      </c>
      <c r="B375" t="inlineStr">
        <is>
          <t>avverkningsanmälan</t>
        </is>
      </c>
      <c r="C375" t="inlineStr">
        <is>
          <t>Föryngringsavverkning</t>
        </is>
      </c>
      <c r="D375" s="1" t="n">
        <v>46206</v>
      </c>
      <c r="E375" s="1" t="n">
        <v>46266</v>
      </c>
      <c r="F375" t="inlineStr">
        <is>
          <t>VÄSTERBOTTENS LÄN</t>
        </is>
      </c>
      <c r="G375" t="inlineStr">
        <is>
          <t>STORUMAN</t>
        </is>
      </c>
      <c r="H375" t="inlineStr">
        <is>
          <t>Sveaskog</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30174-2026</t>
        </is>
      </c>
      <c r="B376" t="inlineStr">
        <is>
          <t>avverkningsanmälan</t>
        </is>
      </c>
      <c r="C376" t="inlineStr">
        <is>
          <t>Föryngringsavverkning</t>
        </is>
      </c>
      <c r="D376" s="1" t="n">
        <v>46206</v>
      </c>
      <c r="E376" s="1" t="n">
        <v>46266</v>
      </c>
      <c r="F376" t="inlineStr">
        <is>
          <t>VÄSTERBOTTENS LÄN</t>
        </is>
      </c>
      <c r="G376" t="inlineStr">
        <is>
          <t>STORUMAN</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30184-2026</t>
        </is>
      </c>
      <c r="B377" t="inlineStr">
        <is>
          <t>avverkningsanmälan</t>
        </is>
      </c>
      <c r="C377" t="inlineStr">
        <is>
          <t>Föryngringsavverkning</t>
        </is>
      </c>
      <c r="D377" s="1" t="n">
        <v>46206</v>
      </c>
      <c r="E377" s="1" t="n">
        <v>46266</v>
      </c>
      <c r="F377" t="inlineStr">
        <is>
          <t>VÄSTERBOTTENS LÄN</t>
        </is>
      </c>
      <c r="G377" t="inlineStr">
        <is>
          <t>STORUMAN</t>
        </is>
      </c>
      <c r="H377" t="inlineStr">
        <is>
          <t>Sveaskog</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30140-2026</t>
        </is>
      </c>
      <c r="B378" t="inlineStr">
        <is>
          <t>avverkningsanmälan</t>
        </is>
      </c>
      <c r="C378" t="inlineStr">
        <is>
          <t>Föryngringsavverkning</t>
        </is>
      </c>
      <c r="D378" s="1" t="n">
        <v>46206</v>
      </c>
      <c r="E378" s="1" t="n">
        <v>46266</v>
      </c>
      <c r="F378" t="inlineStr">
        <is>
          <t>VÄSTERBOTTENS LÄN</t>
        </is>
      </c>
      <c r="G378" t="inlineStr">
        <is>
          <t>STORUMAN</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30137-2026</t>
        </is>
      </c>
      <c r="B379" t="inlineStr">
        <is>
          <t>avverkningsanmälan</t>
        </is>
      </c>
      <c r="C379" t="inlineStr">
        <is>
          <t>Föryngringsavverkning</t>
        </is>
      </c>
      <c r="D379" s="1" t="n">
        <v>46206</v>
      </c>
      <c r="E379" s="1" t="n">
        <v>46266</v>
      </c>
      <c r="F379" t="inlineStr">
        <is>
          <t>VÄSTERBOTTENS LÄN</t>
        </is>
      </c>
      <c r="G379" t="inlineStr">
        <is>
          <t>STORUMAN</t>
        </is>
      </c>
      <c r="H379" t="inlineStr">
        <is>
          <t>Sveaskog</t>
        </is>
      </c>
      <c r="I379" t="n">
        <v>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30175-2026</t>
        </is>
      </c>
      <c r="B380" t="inlineStr">
        <is>
          <t>avverkningsanmälan</t>
        </is>
      </c>
      <c r="C380" t="inlineStr">
        <is>
          <t>Föryngringsavverkning</t>
        </is>
      </c>
      <c r="D380" s="1" t="n">
        <v>46206</v>
      </c>
      <c r="E380" s="1" t="n">
        <v>46266</v>
      </c>
      <c r="F380" t="inlineStr">
        <is>
          <t>VÄSTERBOTTENS LÄN</t>
        </is>
      </c>
      <c r="G380" t="inlineStr">
        <is>
          <t>STORUMAN</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30181-2026</t>
        </is>
      </c>
      <c r="B381" t="inlineStr">
        <is>
          <t>avverkningsanmälan</t>
        </is>
      </c>
      <c r="C381" t="inlineStr">
        <is>
          <t>Föryngringsavverkning</t>
        </is>
      </c>
      <c r="D381" s="1" t="n">
        <v>46206</v>
      </c>
      <c r="E381" s="1" t="n">
        <v>46266</v>
      </c>
      <c r="F381" t="inlineStr">
        <is>
          <t>VÄSTERBOTTENS LÄN</t>
        </is>
      </c>
      <c r="G381" t="inlineStr">
        <is>
          <t>STORUMAN</t>
        </is>
      </c>
      <c r="H381" t="inlineStr">
        <is>
          <t>Sveaskog</t>
        </is>
      </c>
      <c r="I381" t="n">
        <v>12.3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30229-2026</t>
        </is>
      </c>
      <c r="B382" t="inlineStr">
        <is>
          <t>avverkningsanmälan</t>
        </is>
      </c>
      <c r="C382" t="inlineStr">
        <is>
          <t>Föryngringsavverkning</t>
        </is>
      </c>
      <c r="D382" s="1" t="n">
        <v>46206</v>
      </c>
      <c r="E382" s="1" t="n">
        <v>46266</v>
      </c>
      <c r="F382" t="inlineStr">
        <is>
          <t>VÄSTERBOTTENS LÄN</t>
        </is>
      </c>
      <c r="G382" t="inlineStr">
        <is>
          <t>STORUMAN</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30178-2026</t>
        </is>
      </c>
      <c r="B383" t="inlineStr">
        <is>
          <t>avverkningsanmälan</t>
        </is>
      </c>
      <c r="C383" t="inlineStr">
        <is>
          <t>Föryngringsavverkning</t>
        </is>
      </c>
      <c r="D383" s="1" t="n">
        <v>46206</v>
      </c>
      <c r="E383" s="1" t="n">
        <v>46266</v>
      </c>
      <c r="F383" t="inlineStr">
        <is>
          <t>VÄSTERBOTTENS LÄN</t>
        </is>
      </c>
      <c r="G383" t="inlineStr">
        <is>
          <t>STORUMAN</t>
        </is>
      </c>
      <c r="H383" t="inlineStr">
        <is>
          <t>Sveaskog</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7129-2026</t>
        </is>
      </c>
      <c r="B384" t="inlineStr">
        <is>
          <t>avverkningsanmälan</t>
        </is>
      </c>
      <c r="C384" t="inlineStr">
        <is>
          <t>Avverkning för annat ändamål</t>
        </is>
      </c>
      <c r="D384" s="1" t="n">
        <v>46057</v>
      </c>
      <c r="E384" s="1" t="n">
        <v>46266</v>
      </c>
      <c r="F384" t="inlineStr">
        <is>
          <t>VÄSTERBOTTENS LÄN</t>
        </is>
      </c>
      <c r="G384" t="inlineStr">
        <is>
          <t>STORUMAN</t>
        </is>
      </c>
      <c r="H384" t="inlineStr">
        <is>
          <t>Sveaskog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22895-2026</t>
        </is>
      </c>
      <c r="B385" t="inlineStr">
        <is>
          <t>avverkningsanmälan</t>
        </is>
      </c>
      <c r="C385" t="inlineStr">
        <is>
          <t>Föryngringsavverkning</t>
        </is>
      </c>
      <c r="D385" s="1" t="n">
        <v>46156</v>
      </c>
      <c r="E385" s="1" t="n">
        <v>46266</v>
      </c>
      <c r="F385" t="inlineStr">
        <is>
          <t>VÄSTERBOTTENS LÄN</t>
        </is>
      </c>
      <c r="G385" t="inlineStr">
        <is>
          <t>STORUMAN</t>
        </is>
      </c>
      <c r="H385" t="inlineStr">
        <is>
          <t>Övriga statliga verk och myndigheter</t>
        </is>
      </c>
      <c r="I385" t="n">
        <v>59.5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34641-2026</t>
        </is>
      </c>
      <c r="B386" t="inlineStr">
        <is>
          <t>avverkningsanmälan</t>
        </is>
      </c>
      <c r="C386" t="inlineStr">
        <is>
          <t>Föryngringsavverkning</t>
        </is>
      </c>
      <c r="D386" s="1" t="n">
        <v>46255</v>
      </c>
      <c r="E386" s="1" t="n">
        <v>46266</v>
      </c>
      <c r="F386" t="inlineStr">
        <is>
          <t>VÄSTERBOTTENS LÄN</t>
        </is>
      </c>
      <c r="G386" t="inlineStr">
        <is>
          <t>STORUMAN</t>
        </is>
      </c>
      <c r="H386" t="inlineStr">
        <is>
          <t>Sveaskog</t>
        </is>
      </c>
      <c r="I386" t="n">
        <v>24.2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34619-2026</t>
        </is>
      </c>
      <c r="B387" t="inlineStr">
        <is>
          <t>avverkningsanmälan</t>
        </is>
      </c>
      <c r="C387" t="inlineStr">
        <is>
          <t>Föryngringsavverkning</t>
        </is>
      </c>
      <c r="D387" s="1" t="n">
        <v>46255</v>
      </c>
      <c r="E387" s="1" t="n">
        <v>46266</v>
      </c>
      <c r="F387" t="inlineStr">
        <is>
          <t>VÄSTERBOTTENS LÄN</t>
        </is>
      </c>
      <c r="G387" t="inlineStr">
        <is>
          <t>STORUMAN</t>
        </is>
      </c>
      <c r="H387" t="inlineStr">
        <is>
          <t>Sveaskog</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34601-2026</t>
        </is>
      </c>
      <c r="B388" t="inlineStr">
        <is>
          <t>avverkningsanmälan</t>
        </is>
      </c>
      <c r="C388" t="inlineStr">
        <is>
          <t>Föryngringsavverkning</t>
        </is>
      </c>
      <c r="D388" s="1" t="n">
        <v>46255</v>
      </c>
      <c r="E388" s="1" t="n">
        <v>46266</v>
      </c>
      <c r="F388" t="inlineStr">
        <is>
          <t>VÄSTERBOTTENS LÄN</t>
        </is>
      </c>
      <c r="G388" t="inlineStr">
        <is>
          <t>STORUMAN</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34609-2026</t>
        </is>
      </c>
      <c r="B389" t="inlineStr">
        <is>
          <t>avverkningsanmälan</t>
        </is>
      </c>
      <c r="C389" t="inlineStr">
        <is>
          <t>Föryngringsavverkning</t>
        </is>
      </c>
      <c r="D389" s="1" t="n">
        <v>46255</v>
      </c>
      <c r="E389" s="1" t="n">
        <v>46266</v>
      </c>
      <c r="F389" t="inlineStr">
        <is>
          <t>VÄSTERBOTTENS LÄN</t>
        </is>
      </c>
      <c r="G389" t="inlineStr">
        <is>
          <t>STORUMAN</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34598-2026</t>
        </is>
      </c>
      <c r="B390" t="inlineStr">
        <is>
          <t>avverkningsanmälan</t>
        </is>
      </c>
      <c r="C390" t="inlineStr">
        <is>
          <t>Föryngringsavverkning</t>
        </is>
      </c>
      <c r="D390" s="1" t="n">
        <v>46255</v>
      </c>
      <c r="E390" s="1" t="n">
        <v>46266</v>
      </c>
      <c r="F390" t="inlineStr">
        <is>
          <t>VÄSTERBOTTENS LÄN</t>
        </is>
      </c>
      <c r="G390" t="inlineStr">
        <is>
          <t>STORUMAN</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34611-2026</t>
        </is>
      </c>
      <c r="B391" t="inlineStr">
        <is>
          <t>avverkningsanmälan</t>
        </is>
      </c>
      <c r="C391" t="inlineStr">
        <is>
          <t>Föryngringsavverkning</t>
        </is>
      </c>
      <c r="D391" s="1" t="n">
        <v>46255</v>
      </c>
      <c r="E391" s="1" t="n">
        <v>46266</v>
      </c>
      <c r="F391" t="inlineStr">
        <is>
          <t>VÄSTERBOTTENS LÄN</t>
        </is>
      </c>
      <c r="G391" t="inlineStr">
        <is>
          <t>STORUMAN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34612-2026</t>
        </is>
      </c>
      <c r="B392" t="inlineStr">
        <is>
          <t>avverkningsanmälan</t>
        </is>
      </c>
      <c r="C392" t="inlineStr">
        <is>
          <t>Föryngringsavverkning</t>
        </is>
      </c>
      <c r="D392" s="1" t="n">
        <v>46255</v>
      </c>
      <c r="E392" s="1" t="n">
        <v>46266</v>
      </c>
      <c r="F392" t="inlineStr">
        <is>
          <t>VÄSTERBOTTENS LÄN</t>
        </is>
      </c>
      <c r="G392" t="inlineStr">
        <is>
          <t>STORUMAN</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31345-2026</t>
        </is>
      </c>
      <c r="B393" t="inlineStr">
        <is>
          <t>avverkningsanmälan</t>
        </is>
      </c>
      <c r="C393" t="inlineStr">
        <is>
          <t>Föryngringsavverkning</t>
        </is>
      </c>
      <c r="D393" s="1" t="n">
        <v>46219</v>
      </c>
      <c r="E393" s="1" t="n">
        <v>46266</v>
      </c>
      <c r="F393" t="inlineStr">
        <is>
          <t>VÄSTERBOTTENS LÄN</t>
        </is>
      </c>
      <c r="G393" t="inlineStr">
        <is>
          <t>STORUMAN</t>
        </is>
      </c>
      <c r="H393" t="inlineStr">
        <is>
          <t>Holmen skog AB</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35586-2026</t>
        </is>
      </c>
      <c r="B394" t="inlineStr">
        <is>
          <t>avverkningsanmälan</t>
        </is>
      </c>
      <c r="C394" t="inlineStr">
        <is>
          <t>Föryngringsavverkning</t>
        </is>
      </c>
      <c r="D394" s="1" t="n">
        <v>46262</v>
      </c>
      <c r="E394" s="1" t="n">
        <v>46266</v>
      </c>
      <c r="F394" t="inlineStr">
        <is>
          <t>VÄSTERBOTTENS LÄN</t>
        </is>
      </c>
      <c r="G394" t="inlineStr">
        <is>
          <t>STORUMAN</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35590-2026</t>
        </is>
      </c>
      <c r="B395" t="inlineStr">
        <is>
          <t>avverkningsanmälan</t>
        </is>
      </c>
      <c r="C395" t="inlineStr">
        <is>
          <t>Föryngringsavverkning</t>
        </is>
      </c>
      <c r="D395" s="1" t="n">
        <v>46262</v>
      </c>
      <c r="E395" s="1" t="n">
        <v>46266</v>
      </c>
      <c r="F395" t="inlineStr">
        <is>
          <t>VÄSTERBOTTENS LÄN</t>
        </is>
      </c>
      <c r="G395" t="inlineStr">
        <is>
          <t>STORUMAN</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31536-2026</t>
        </is>
      </c>
      <c r="B396" t="inlineStr">
        <is>
          <t>avverkningsanmälan</t>
        </is>
      </c>
      <c r="C396" t="inlineStr">
        <is>
          <t>Föryngringsavverkning</t>
        </is>
      </c>
      <c r="D396" s="1" t="n">
        <v>46223</v>
      </c>
      <c r="E396" s="1" t="n">
        <v>46266</v>
      </c>
      <c r="F396" t="inlineStr">
        <is>
          <t>VÄSTERBOTTENS LÄN</t>
        </is>
      </c>
      <c r="G396" t="inlineStr">
        <is>
          <t>STORUMAN</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70-2022</t>
        </is>
      </c>
      <c r="B397" t="inlineStr">
        <is>
          <t>samrådsanmälan</t>
        </is>
      </c>
      <c r="C397" t="inlineStr">
        <is>
          <t>Skogsgödsling</t>
        </is>
      </c>
      <c r="D397" s="1" t="n">
        <v>44566</v>
      </c>
      <c r="E397" s="1" t="n">
        <v>46266</v>
      </c>
      <c r="F397" t="inlineStr">
        <is>
          <t>VÄSTERBOTTENS LÄN</t>
        </is>
      </c>
      <c r="G397" t="inlineStr">
        <is>
          <t>STORUMAN</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2495-2023</t>
        </is>
      </c>
      <c r="B398" t="inlineStr">
        <is>
          <t>samrådsanmälan</t>
        </is>
      </c>
      <c r="C398" t="inlineStr">
        <is>
          <t>Annan skogsbruksåtgärd</t>
        </is>
      </c>
      <c r="D398" s="1" t="n">
        <v>45133</v>
      </c>
      <c r="E398" s="1" t="n">
        <v>46266</v>
      </c>
      <c r="F398" t="inlineStr">
        <is>
          <t>VÄSTERBOTTENS LÄN</t>
        </is>
      </c>
      <c r="G398" t="inlineStr">
        <is>
          <t>STORUMAN</t>
        </is>
      </c>
      <c r="I398" t="n">
        <v>1.4</v>
      </c>
      <c r="J398" t="n">
        <v>0</v>
      </c>
      <c r="K398" t="n">
        <v>0</v>
      </c>
      <c r="L398" t="n">
        <v>0</v>
      </c>
      <c r="M398" t="n">
        <v>0</v>
      </c>
      <c r="N398" t="n">
        <v>0</v>
      </c>
      <c r="O398" t="n">
        <v>0</v>
      </c>
      <c r="P398" t="n">
        <v>0</v>
      </c>
      <c r="Q398" t="n">
        <v>0</v>
      </c>
      <c r="R398" t="n">
        <v>0</v>
      </c>
      <c r="S398" t="n">
        <v>0</v>
      </c>
      <c r="T398" t="n">
        <v>0</v>
      </c>
      <c r="U398" t="n">
        <v>0</v>
      </c>
      <c r="V398" s="2" t="inlineStr"/>
    </row>
    <row r="399">
      <c r="A399" t="inlineStr">
        <is>
          <t>S 892-2022</t>
        </is>
      </c>
      <c r="B399" t="inlineStr">
        <is>
          <t>samrådsanmälan</t>
        </is>
      </c>
      <c r="C399" t="inlineStr">
        <is>
          <t>Skogsgödsling</t>
        </is>
      </c>
      <c r="D399" s="1" t="n">
        <v>44607</v>
      </c>
      <c r="E399" s="1" t="n">
        <v>46266</v>
      </c>
      <c r="F399" t="inlineStr">
        <is>
          <t>VÄSTERBOTTENS LÄN</t>
        </is>
      </c>
      <c r="G399" t="inlineStr">
        <is>
          <t>STORUMAN</t>
        </is>
      </c>
      <c r="H399" t="inlineStr">
        <is>
          <t>SCA</t>
        </is>
      </c>
      <c r="I399" t="n">
        <v>46.9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2026-09-01T02:07:45Z</dcterms:created>
  <dcterms:modified xmlns:dcterms="http://purl.org/dc/terms/" xmlns:xsi="http://www.w3.org/2001/XMLSchema-instance" xsi:type="dcterms:W3CDTF">2026-09-01T02:07:46Z</dcterms:modified>
</cp:coreProperties>
</file>