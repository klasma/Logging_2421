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45826</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45826</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45826</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45826</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45826</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45826</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45826</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45826</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45826</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45826</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45826</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45826</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45826</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45826</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45826</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45826</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45826</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45826</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49602-2019</t>
        </is>
      </c>
      <c r="B20" s="1" t="n">
        <v>43732</v>
      </c>
      <c r="C20" s="1" t="n">
        <v>45826</v>
      </c>
      <c r="D20" t="inlineStr">
        <is>
          <t>VÄSTERBOTTENS LÄN</t>
        </is>
      </c>
      <c r="E20" t="inlineStr">
        <is>
          <t>STORUMAN</t>
        </is>
      </c>
      <c r="F20" t="inlineStr">
        <is>
          <t>Sveaskog</t>
        </is>
      </c>
      <c r="G20" t="n">
        <v>3.7</v>
      </c>
      <c r="H20" t="n">
        <v>2</v>
      </c>
      <c r="I20" t="n">
        <v>1</v>
      </c>
      <c r="J20" t="n">
        <v>9</v>
      </c>
      <c r="K20" t="n">
        <v>1</v>
      </c>
      <c r="L20" t="n">
        <v>0</v>
      </c>
      <c r="M20" t="n">
        <v>0</v>
      </c>
      <c r="N20" t="n">
        <v>0</v>
      </c>
      <c r="O20" t="n">
        <v>10</v>
      </c>
      <c r="P20" t="n">
        <v>1</v>
      </c>
      <c r="Q20" t="n">
        <v>13</v>
      </c>
      <c r="R20" s="2" t="inlineStr">
        <is>
          <t>Lunglavsknapp
Blanksvart spiklav
Blågrå svartspik
Dvärgbägarlav
Gammelgransskål
Lunglav
Mörk kolflarnlav
Vedflamlav
Vedskivlav
Vitgrynig nållav
Stuplav
Vanlig padda
Fläcknycklar</t>
        </is>
      </c>
      <c r="S20">
        <f>HYPERLINK("https://klasma.github.io/Logging_2421/artfynd/A 49602-2019 artfynd.xlsx", "A 49602-2019")</f>
        <v/>
      </c>
      <c r="T20">
        <f>HYPERLINK("https://klasma.github.io/Logging_2421/kartor/A 49602-2019 karta.png", "A 49602-2019")</f>
        <v/>
      </c>
      <c r="V20">
        <f>HYPERLINK("https://klasma.github.io/Logging_2421/klagomål/A 49602-2019 FSC-klagomål.docx", "A 49602-2019")</f>
        <v/>
      </c>
      <c r="W20">
        <f>HYPERLINK("https://klasma.github.io/Logging_2421/klagomålsmail/A 49602-2019 FSC-klagomål mail.docx", "A 49602-2019")</f>
        <v/>
      </c>
      <c r="X20">
        <f>HYPERLINK("https://klasma.github.io/Logging_2421/tillsyn/A 49602-2019 tillsynsbegäran.docx", "A 49602-2019")</f>
        <v/>
      </c>
      <c r="Y20">
        <f>HYPERLINK("https://klasma.github.io/Logging_2421/tillsynsmail/A 49602-2019 tillsynsbegäran mail.docx", "A 49602-2019")</f>
        <v/>
      </c>
    </row>
    <row r="21" ht="15" customHeight="1">
      <c r="A21" t="inlineStr">
        <is>
          <t>A 42617-2020</t>
        </is>
      </c>
      <c r="B21" s="1" t="n">
        <v>44077</v>
      </c>
      <c r="C21" s="1" t="n">
        <v>45826</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43929-2020</t>
        </is>
      </c>
      <c r="B22" s="1" t="n">
        <v>44078</v>
      </c>
      <c r="C22" s="1" t="n">
        <v>45826</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43915-2020</t>
        </is>
      </c>
      <c r="B23" s="1" t="n">
        <v>44078</v>
      </c>
      <c r="C23" s="1" t="n">
        <v>45826</v>
      </c>
      <c r="D23" t="inlineStr">
        <is>
          <t>VÄSTERBOTTENS LÄN</t>
        </is>
      </c>
      <c r="E23" t="inlineStr">
        <is>
          <t>STORUMAN</t>
        </is>
      </c>
      <c r="F23" t="inlineStr">
        <is>
          <t>Allmännings- och besparingsskogar</t>
        </is>
      </c>
      <c r="G23" t="n">
        <v>220.8</v>
      </c>
      <c r="H23" t="n">
        <v>1</v>
      </c>
      <c r="I23" t="n">
        <v>3</v>
      </c>
      <c r="J23" t="n">
        <v>10</v>
      </c>
      <c r="K23" t="n">
        <v>0</v>
      </c>
      <c r="L23" t="n">
        <v>0</v>
      </c>
      <c r="M23" t="n">
        <v>0</v>
      </c>
      <c r="N23" t="n">
        <v>0</v>
      </c>
      <c r="O23" t="n">
        <v>10</v>
      </c>
      <c r="P23" t="n">
        <v>0</v>
      </c>
      <c r="Q23" t="n">
        <v>13</v>
      </c>
      <c r="R23" s="2" t="inlineStr">
        <is>
          <t>Garnlav
Granticka
Gränsticka
Harticka
Knottrig blåslav
Lunglav
Rosenticka
Skrovellav
Tretåig hackspett
Ullticka
Bårdlav
Luddlav
Stuplav</t>
        </is>
      </c>
      <c r="S23">
        <f>HYPERLINK("https://klasma.github.io/Logging_2421/artfynd/A 43915-2020 artfynd.xlsx", "A 43915-2020")</f>
        <v/>
      </c>
      <c r="T23">
        <f>HYPERLINK("https://klasma.github.io/Logging_2421/kartor/A 43915-2020 karta.png", "A 43915-2020")</f>
        <v/>
      </c>
      <c r="V23">
        <f>HYPERLINK("https://klasma.github.io/Logging_2421/klagomål/A 43915-2020 FSC-klagomål.docx", "A 43915-2020")</f>
        <v/>
      </c>
      <c r="W23">
        <f>HYPERLINK("https://klasma.github.io/Logging_2421/klagomålsmail/A 43915-2020 FSC-klagomål mail.docx", "A 43915-2020")</f>
        <v/>
      </c>
      <c r="X23">
        <f>HYPERLINK("https://klasma.github.io/Logging_2421/tillsyn/A 43915-2020 tillsynsbegäran.docx", "A 43915-2020")</f>
        <v/>
      </c>
      <c r="Y23">
        <f>HYPERLINK("https://klasma.github.io/Logging_2421/tillsynsmail/A 43915-2020 tillsynsbegäran mail.docx", "A 43915-2020")</f>
        <v/>
      </c>
      <c r="Z23">
        <f>HYPERLINK("https://klasma.github.io/Logging_2421/fåglar/A 43915-2020 prioriterade fågelarter.docx", "A 43915-2020")</f>
        <v/>
      </c>
    </row>
    <row r="24" ht="15" customHeight="1">
      <c r="A24" t="inlineStr">
        <is>
          <t>A 34681-2021</t>
        </is>
      </c>
      <c r="B24" s="1" t="n">
        <v>44382</v>
      </c>
      <c r="C24" s="1" t="n">
        <v>45826</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45826</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50983-2024</t>
        </is>
      </c>
      <c r="B26" s="1" t="n">
        <v>45603</v>
      </c>
      <c r="C26" s="1" t="n">
        <v>45826</v>
      </c>
      <c r="D26" t="inlineStr">
        <is>
          <t>VÄSTERBOTTENS LÄN</t>
        </is>
      </c>
      <c r="E26" t="inlineStr">
        <is>
          <t>STORUMAN</t>
        </is>
      </c>
      <c r="G26" t="n">
        <v>19.3</v>
      </c>
      <c r="H26" t="n">
        <v>1</v>
      </c>
      <c r="I26" t="n">
        <v>4</v>
      </c>
      <c r="J26" t="n">
        <v>9</v>
      </c>
      <c r="K26" t="n">
        <v>0</v>
      </c>
      <c r="L26" t="n">
        <v>0</v>
      </c>
      <c r="M26" t="n">
        <v>0</v>
      </c>
      <c r="N26" t="n">
        <v>0</v>
      </c>
      <c r="O26" t="n">
        <v>9</v>
      </c>
      <c r="P26" t="n">
        <v>0</v>
      </c>
      <c r="Q26" t="n">
        <v>13</v>
      </c>
      <c r="R26" s="2" t="inlineStr">
        <is>
          <t>Gammelgransskål
Garnlav
Granticka
Gränsticka
Harticka
Knottrig blåslav
Skrovellav
Tretåig hackspett
Ullticka
Gulnål
Skinnlav
Stuplav
Trådticka</t>
        </is>
      </c>
      <c r="S26">
        <f>HYPERLINK("https://klasma.github.io/Logging_2421/artfynd/A 50983-2024 artfynd.xlsx", "A 50983-2024")</f>
        <v/>
      </c>
      <c r="T26">
        <f>HYPERLINK("https://klasma.github.io/Logging_2421/kartor/A 50983-2024 karta.png", "A 50983-2024")</f>
        <v/>
      </c>
      <c r="V26">
        <f>HYPERLINK("https://klasma.github.io/Logging_2421/klagomål/A 50983-2024 FSC-klagomål.docx", "A 50983-2024")</f>
        <v/>
      </c>
      <c r="W26">
        <f>HYPERLINK("https://klasma.github.io/Logging_2421/klagomålsmail/A 50983-2024 FSC-klagomål mail.docx", "A 50983-2024")</f>
        <v/>
      </c>
      <c r="X26">
        <f>HYPERLINK("https://klasma.github.io/Logging_2421/tillsyn/A 50983-2024 tillsynsbegäran.docx", "A 50983-2024")</f>
        <v/>
      </c>
      <c r="Y26">
        <f>HYPERLINK("https://klasma.github.io/Logging_2421/tillsynsmail/A 50983-2024 tillsynsbegäran mail.docx", "A 50983-2024")</f>
        <v/>
      </c>
      <c r="Z26">
        <f>HYPERLINK("https://klasma.github.io/Logging_2421/fåglar/A 50983-2024 prioriterade fågelarter.docx", "A 50983-2024")</f>
        <v/>
      </c>
    </row>
    <row r="27" ht="15" customHeight="1">
      <c r="A27" t="inlineStr">
        <is>
          <t>A 43878-2020</t>
        </is>
      </c>
      <c r="B27" s="1" t="n">
        <v>44078</v>
      </c>
      <c r="C27" s="1" t="n">
        <v>45826</v>
      </c>
      <c r="D27" t="inlineStr">
        <is>
          <t>VÄSTERBOTTENS LÄN</t>
        </is>
      </c>
      <c r="E27" t="inlineStr">
        <is>
          <t>STORUMAN</t>
        </is>
      </c>
      <c r="F27" t="inlineStr">
        <is>
          <t>Allmännings- och besparingsskogar</t>
        </is>
      </c>
      <c r="G27" t="n">
        <v>139.1</v>
      </c>
      <c r="H27" t="n">
        <v>1</v>
      </c>
      <c r="I27" t="n">
        <v>2</v>
      </c>
      <c r="J27" t="n">
        <v>7</v>
      </c>
      <c r="K27" t="n">
        <v>3</v>
      </c>
      <c r="L27" t="n">
        <v>0</v>
      </c>
      <c r="M27" t="n">
        <v>0</v>
      </c>
      <c r="N27" t="n">
        <v>0</v>
      </c>
      <c r="O27" t="n">
        <v>10</v>
      </c>
      <c r="P27" t="n">
        <v>3</v>
      </c>
      <c r="Q27" t="n">
        <v>12</v>
      </c>
      <c r="R27" s="2" t="inlineStr">
        <is>
          <t>Ostticka
Rynkskinn
Tajgaskinn
Doftskinn
Gränsticka
Kungsörn
Lunglav
Rosenticka
Stjärntagging
Ullticka
Trådticka
Vedticka</t>
        </is>
      </c>
      <c r="S27">
        <f>HYPERLINK("https://klasma.github.io/Logging_2421/artfynd/A 43878-2020 artfynd.xlsx", "A 43878-2020")</f>
        <v/>
      </c>
      <c r="T27">
        <f>HYPERLINK("https://klasma.github.io/Logging_2421/kartor/A 43878-2020 karta.png", "A 43878-2020")</f>
        <v/>
      </c>
      <c r="V27">
        <f>HYPERLINK("https://klasma.github.io/Logging_2421/klagomål/A 43878-2020 FSC-klagomål.docx", "A 43878-2020")</f>
        <v/>
      </c>
      <c r="W27">
        <f>HYPERLINK("https://klasma.github.io/Logging_2421/klagomålsmail/A 43878-2020 FSC-klagomål mail.docx", "A 43878-2020")</f>
        <v/>
      </c>
      <c r="X27">
        <f>HYPERLINK("https://klasma.github.io/Logging_2421/tillsyn/A 43878-2020 tillsynsbegäran.docx", "A 43878-2020")</f>
        <v/>
      </c>
      <c r="Y27">
        <f>HYPERLINK("https://klasma.github.io/Logging_2421/tillsynsmail/A 43878-2020 tillsynsbegäran mail.docx", "A 43878-2020")</f>
        <v/>
      </c>
      <c r="Z27">
        <f>HYPERLINK("https://klasma.github.io/Logging_2421/fåglar/A 43878-2020 prioriterade fågelarter.docx", "A 43878-2020")</f>
        <v/>
      </c>
    </row>
    <row r="28" ht="15" customHeight="1">
      <c r="A28" t="inlineStr">
        <is>
          <t>A 67780-2020</t>
        </is>
      </c>
      <c r="B28" s="1" t="n">
        <v>44182</v>
      </c>
      <c r="C28" s="1" t="n">
        <v>45826</v>
      </c>
      <c r="D28" t="inlineStr">
        <is>
          <t>VÄSTERBOTTENS LÄN</t>
        </is>
      </c>
      <c r="E28" t="inlineStr">
        <is>
          <t>STORUMAN</t>
        </is>
      </c>
      <c r="F28" t="inlineStr">
        <is>
          <t>Sveaskog</t>
        </is>
      </c>
      <c r="G28" t="n">
        <v>10.5</v>
      </c>
      <c r="H28" t="n">
        <v>0</v>
      </c>
      <c r="I28" t="n">
        <v>2</v>
      </c>
      <c r="J28" t="n">
        <v>8</v>
      </c>
      <c r="K28" t="n">
        <v>2</v>
      </c>
      <c r="L28" t="n">
        <v>0</v>
      </c>
      <c r="M28" t="n">
        <v>0</v>
      </c>
      <c r="N28" t="n">
        <v>0</v>
      </c>
      <c r="O28" t="n">
        <v>10</v>
      </c>
      <c r="P28" t="n">
        <v>2</v>
      </c>
      <c r="Q28" t="n">
        <v>12</v>
      </c>
      <c r="R28" s="2" t="inlineStr">
        <is>
          <t>Fläckporing
Gräddporing
Dvärgbägarlav
Gränsticka
Kolflarnlav
Mörk kolflarnlav
Skrovellav
Ullticka
Vaddporing
Vedskivlav
Skinnlav
Vedticka</t>
        </is>
      </c>
      <c r="S28">
        <f>HYPERLINK("https://klasma.github.io/Logging_2421/artfynd/A 67780-2020 artfynd.xlsx", "A 67780-2020")</f>
        <v/>
      </c>
      <c r="T28">
        <f>HYPERLINK("https://klasma.github.io/Logging_2421/kartor/A 67780-2020 karta.png", "A 67780-2020")</f>
        <v/>
      </c>
      <c r="V28">
        <f>HYPERLINK("https://klasma.github.io/Logging_2421/klagomål/A 67780-2020 FSC-klagomål.docx", "A 67780-2020")</f>
        <v/>
      </c>
      <c r="W28">
        <f>HYPERLINK("https://klasma.github.io/Logging_2421/klagomålsmail/A 67780-2020 FSC-klagomål mail.docx", "A 67780-2020")</f>
        <v/>
      </c>
      <c r="X28">
        <f>HYPERLINK("https://klasma.github.io/Logging_2421/tillsyn/A 67780-2020 tillsynsbegäran.docx", "A 67780-2020")</f>
        <v/>
      </c>
      <c r="Y28">
        <f>HYPERLINK("https://klasma.github.io/Logging_2421/tillsynsmail/A 67780-2020 tillsynsbegäran mail.docx", "A 67780-2020")</f>
        <v/>
      </c>
    </row>
    <row r="29" ht="15" customHeight="1">
      <c r="A29" t="inlineStr">
        <is>
          <t>A 48338-2021</t>
        </is>
      </c>
      <c r="B29" s="1" t="n">
        <v>44451</v>
      </c>
      <c r="C29" s="1" t="n">
        <v>45826</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48337-2021</t>
        </is>
      </c>
      <c r="B30" s="1" t="n">
        <v>44451</v>
      </c>
      <c r="C30" s="1" t="n">
        <v>45826</v>
      </c>
      <c r="D30" t="inlineStr">
        <is>
          <t>VÄSTERBOTTENS LÄN</t>
        </is>
      </c>
      <c r="E30" t="inlineStr">
        <is>
          <t>STORUMAN</t>
        </is>
      </c>
      <c r="F30" t="inlineStr">
        <is>
          <t>Sveaskog</t>
        </is>
      </c>
      <c r="G30" t="n">
        <v>2.9</v>
      </c>
      <c r="H30" t="n">
        <v>3</v>
      </c>
      <c r="I30" t="n">
        <v>5</v>
      </c>
      <c r="J30" t="n">
        <v>5</v>
      </c>
      <c r="K30" t="n">
        <v>0</v>
      </c>
      <c r="L30" t="n">
        <v>0</v>
      </c>
      <c r="M30" t="n">
        <v>0</v>
      </c>
      <c r="N30" t="n">
        <v>0</v>
      </c>
      <c r="O30" t="n">
        <v>5</v>
      </c>
      <c r="P30" t="n">
        <v>0</v>
      </c>
      <c r="Q30" t="n">
        <v>12</v>
      </c>
      <c r="R30" s="2" t="inlineStr">
        <is>
          <t>Gammelgransskål
Garnlav
Knottrig blåslav
Lunglav
Vitgrynig nållav
Bårdlav
Norrlandslav
Spindelblomster
Stuplav
Vedticka
Gråspett
Revlummer</t>
        </is>
      </c>
      <c r="S30">
        <f>HYPERLINK("https://klasma.github.io/Logging_2421/artfynd/A 48337-2021 artfynd.xlsx", "A 48337-2021")</f>
        <v/>
      </c>
      <c r="T30">
        <f>HYPERLINK("https://klasma.github.io/Logging_2421/kartor/A 48337-2021 karta.png", "A 48337-2021")</f>
        <v/>
      </c>
      <c r="V30">
        <f>HYPERLINK("https://klasma.github.io/Logging_2421/klagomål/A 48337-2021 FSC-klagomål.docx", "A 48337-2021")</f>
        <v/>
      </c>
      <c r="W30">
        <f>HYPERLINK("https://klasma.github.io/Logging_2421/klagomålsmail/A 48337-2021 FSC-klagomål mail.docx", "A 48337-2021")</f>
        <v/>
      </c>
      <c r="X30">
        <f>HYPERLINK("https://klasma.github.io/Logging_2421/tillsyn/A 48337-2021 tillsynsbegäran.docx", "A 48337-2021")</f>
        <v/>
      </c>
      <c r="Y30">
        <f>HYPERLINK("https://klasma.github.io/Logging_2421/tillsynsmail/A 48337-2021 tillsynsbegäran mail.docx", "A 48337-2021")</f>
        <v/>
      </c>
      <c r="Z30">
        <f>HYPERLINK("https://klasma.github.io/Logging_2421/fåglar/A 48337-2021 prioriterade fågelarter.docx", "A 48337-2021")</f>
        <v/>
      </c>
    </row>
    <row r="31" ht="15" customHeight="1">
      <c r="A31" t="inlineStr">
        <is>
          <t>A 47994-2019</t>
        </is>
      </c>
      <c r="B31" s="1" t="n">
        <v>43725</v>
      </c>
      <c r="C31" s="1" t="n">
        <v>45826</v>
      </c>
      <c r="D31" t="inlineStr">
        <is>
          <t>VÄSTERBOTTENS LÄN</t>
        </is>
      </c>
      <c r="E31" t="inlineStr">
        <is>
          <t>STORUMAN</t>
        </is>
      </c>
      <c r="G31" t="n">
        <v>22.2</v>
      </c>
      <c r="H31" t="n">
        <v>3</v>
      </c>
      <c r="I31" t="n">
        <v>1</v>
      </c>
      <c r="J31" t="n">
        <v>8</v>
      </c>
      <c r="K31" t="n">
        <v>0</v>
      </c>
      <c r="L31" t="n">
        <v>0</v>
      </c>
      <c r="M31" t="n">
        <v>0</v>
      </c>
      <c r="N31" t="n">
        <v>0</v>
      </c>
      <c r="O31" t="n">
        <v>8</v>
      </c>
      <c r="P31" t="n">
        <v>0</v>
      </c>
      <c r="Q31" t="n">
        <v>11</v>
      </c>
      <c r="R31" s="2" t="inlineStr">
        <is>
          <t>Gammelgransskål
Garnlav
Granticka
Gränsticka
Harticka
Rosenticka
Tretåig hackspett
Violettkantad guldvinge
Kransrams
Lavskrika
Revlummer</t>
        </is>
      </c>
      <c r="S31">
        <f>HYPERLINK("https://klasma.github.io/Logging_2421/artfynd/A 47994-2019 artfynd.xlsx", "A 47994-2019")</f>
        <v/>
      </c>
      <c r="T31">
        <f>HYPERLINK("https://klasma.github.io/Logging_2421/kartor/A 47994-2019 karta.png", "A 47994-2019")</f>
        <v/>
      </c>
      <c r="U31">
        <f>HYPERLINK("https://klasma.github.io/Logging_2421/knärot/A 47994-2019 karta knärot.png", "A 47994-2019")</f>
        <v/>
      </c>
      <c r="V31">
        <f>HYPERLINK("https://klasma.github.io/Logging_2421/klagomål/A 47994-2019 FSC-klagomål.docx", "A 47994-2019")</f>
        <v/>
      </c>
      <c r="W31">
        <f>HYPERLINK("https://klasma.github.io/Logging_2421/klagomålsmail/A 47994-2019 FSC-klagomål mail.docx", "A 47994-2019")</f>
        <v/>
      </c>
      <c r="X31">
        <f>HYPERLINK("https://klasma.github.io/Logging_2421/tillsyn/A 47994-2019 tillsynsbegäran.docx", "A 47994-2019")</f>
        <v/>
      </c>
      <c r="Y31">
        <f>HYPERLINK("https://klasma.github.io/Logging_2421/tillsynsmail/A 47994-2019 tillsynsbegäran mail.docx", "A 47994-2019")</f>
        <v/>
      </c>
      <c r="Z31">
        <f>HYPERLINK("https://klasma.github.io/Logging_2421/fåglar/A 47994-2019 prioriterade fågelarter.docx", "A 47994-2019")</f>
        <v/>
      </c>
    </row>
    <row r="32" ht="15" customHeight="1">
      <c r="A32" t="inlineStr">
        <is>
          <t>A 43938-2020</t>
        </is>
      </c>
      <c r="B32" s="1" t="n">
        <v>44078</v>
      </c>
      <c r="C32" s="1" t="n">
        <v>45826</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14810-2023</t>
        </is>
      </c>
      <c r="B33" s="1" t="n">
        <v>45013</v>
      </c>
      <c r="C33" s="1" t="n">
        <v>45826</v>
      </c>
      <c r="D33" t="inlineStr">
        <is>
          <t>VÄSTERBOTTENS LÄN</t>
        </is>
      </c>
      <c r="E33" t="inlineStr">
        <is>
          <t>STORUMAN</t>
        </is>
      </c>
      <c r="G33" t="n">
        <v>14</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15343-2023</t>
        </is>
      </c>
      <c r="B34" s="1" t="n">
        <v>45016</v>
      </c>
      <c r="C34" s="1" t="n">
        <v>45826</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15340-2023</t>
        </is>
      </c>
      <c r="B35" s="1" t="n">
        <v>45016</v>
      </c>
      <c r="C35" s="1" t="n">
        <v>45826</v>
      </c>
      <c r="D35" t="inlineStr">
        <is>
          <t>VÄSTERBOTTENS LÄN</t>
        </is>
      </c>
      <c r="E35" t="inlineStr">
        <is>
          <t>STORUMAN</t>
        </is>
      </c>
      <c r="G35" t="n">
        <v>22.8</v>
      </c>
      <c r="H35" t="n">
        <v>2</v>
      </c>
      <c r="I35" t="n">
        <v>0</v>
      </c>
      <c r="J35" t="n">
        <v>9</v>
      </c>
      <c r="K35" t="n">
        <v>1</v>
      </c>
      <c r="L35" t="n">
        <v>0</v>
      </c>
      <c r="M35" t="n">
        <v>0</v>
      </c>
      <c r="N35" t="n">
        <v>0</v>
      </c>
      <c r="O35" t="n">
        <v>10</v>
      </c>
      <c r="P35" t="n">
        <v>1</v>
      </c>
      <c r="Q35" t="n">
        <v>11</v>
      </c>
      <c r="R35" s="2" t="inlineStr">
        <is>
          <t>Tajgaskinn
Gammelgransskål
Garnlav
Granticka
Harticka
Knottrig blåslav
Rosenticka
Tretåig hackspett
Ullticka
Vitgrynig nållav
Tjäder</t>
        </is>
      </c>
      <c r="S35">
        <f>HYPERLINK("https://klasma.github.io/Logging_2421/artfynd/A 15340-2023 artfynd.xlsx", "A 15340-2023")</f>
        <v/>
      </c>
      <c r="T35">
        <f>HYPERLINK("https://klasma.github.io/Logging_2421/kartor/A 15340-2023 karta.png", "A 15340-2023")</f>
        <v/>
      </c>
      <c r="V35">
        <f>HYPERLINK("https://klasma.github.io/Logging_2421/klagomål/A 15340-2023 FSC-klagomål.docx", "A 15340-2023")</f>
        <v/>
      </c>
      <c r="W35">
        <f>HYPERLINK("https://klasma.github.io/Logging_2421/klagomålsmail/A 15340-2023 FSC-klagomål mail.docx", "A 15340-2023")</f>
        <v/>
      </c>
      <c r="X35">
        <f>HYPERLINK("https://klasma.github.io/Logging_2421/tillsyn/A 15340-2023 tillsynsbegäran.docx", "A 15340-2023")</f>
        <v/>
      </c>
      <c r="Y35">
        <f>HYPERLINK("https://klasma.github.io/Logging_2421/tillsynsmail/A 15340-2023 tillsynsbegäran mail.docx", "A 15340-2023")</f>
        <v/>
      </c>
      <c r="Z35">
        <f>HYPERLINK("https://klasma.github.io/Logging_2421/fåglar/A 15340-2023 prioriterade fågelarter.docx", "A 15340-2023")</f>
        <v/>
      </c>
    </row>
    <row r="36" ht="15" customHeight="1">
      <c r="A36" t="inlineStr">
        <is>
          <t>A 55886-2023</t>
        </is>
      </c>
      <c r="B36" s="1" t="n">
        <v>45233</v>
      </c>
      <c r="C36" s="1" t="n">
        <v>45826</v>
      </c>
      <c r="D36" t="inlineStr">
        <is>
          <t>VÄSTERBOTTENS LÄN</t>
        </is>
      </c>
      <c r="E36" t="inlineStr">
        <is>
          <t>STORUMAN</t>
        </is>
      </c>
      <c r="G36" t="n">
        <v>40.9</v>
      </c>
      <c r="H36" t="n">
        <v>2</v>
      </c>
      <c r="I36" t="n">
        <v>5</v>
      </c>
      <c r="J36" t="n">
        <v>5</v>
      </c>
      <c r="K36" t="n">
        <v>1</v>
      </c>
      <c r="L36" t="n">
        <v>0</v>
      </c>
      <c r="M36" t="n">
        <v>0</v>
      </c>
      <c r="N36" t="n">
        <v>0</v>
      </c>
      <c r="O36" t="n">
        <v>6</v>
      </c>
      <c r="P36" t="n">
        <v>1</v>
      </c>
      <c r="Q36" t="n">
        <v>11</v>
      </c>
      <c r="R36" s="2" t="inlineStr">
        <is>
          <t>Doftticka
Garnlav
Granticka
Lunglav
Skrovellav
Tretåig hackspett
Bårdlav
Gulnål
Luddlav
Skinnlav
Stuplav</t>
        </is>
      </c>
      <c r="S36">
        <f>HYPERLINK("https://klasma.github.io/Logging_2421/artfynd/A 55886-2023 artfynd.xlsx", "A 55886-2023")</f>
        <v/>
      </c>
      <c r="T36">
        <f>HYPERLINK("https://klasma.github.io/Logging_2421/kartor/A 55886-2023 karta.png", "A 55886-2023")</f>
        <v/>
      </c>
      <c r="V36">
        <f>HYPERLINK("https://klasma.github.io/Logging_2421/klagomål/A 55886-2023 FSC-klagomål.docx", "A 55886-2023")</f>
        <v/>
      </c>
      <c r="W36">
        <f>HYPERLINK("https://klasma.github.io/Logging_2421/klagomålsmail/A 55886-2023 FSC-klagomål mail.docx", "A 55886-2023")</f>
        <v/>
      </c>
      <c r="X36">
        <f>HYPERLINK("https://klasma.github.io/Logging_2421/tillsyn/A 55886-2023 tillsynsbegäran.docx", "A 55886-2023")</f>
        <v/>
      </c>
      <c r="Y36">
        <f>HYPERLINK("https://klasma.github.io/Logging_2421/tillsynsmail/A 55886-2023 tillsynsbegäran mail.docx", "A 55886-2023")</f>
        <v/>
      </c>
      <c r="Z36">
        <f>HYPERLINK("https://klasma.github.io/Logging_2421/fåglar/A 55886-2023 prioriterade fågelarter.docx", "A 55886-2023")</f>
        <v/>
      </c>
    </row>
    <row r="37" ht="15" customHeight="1">
      <c r="A37" t="inlineStr">
        <is>
          <t>A 28164-2020</t>
        </is>
      </c>
      <c r="B37" s="1" t="n">
        <v>43997</v>
      </c>
      <c r="C37" s="1" t="n">
        <v>45826</v>
      </c>
      <c r="D37" t="inlineStr">
        <is>
          <t>VÄSTERBOTTENS LÄN</t>
        </is>
      </c>
      <c r="E37" t="inlineStr">
        <is>
          <t>STORUMAN</t>
        </is>
      </c>
      <c r="F37" t="inlineStr">
        <is>
          <t>Sveaskog</t>
        </is>
      </c>
      <c r="G37" t="n">
        <v>3.9</v>
      </c>
      <c r="H37" t="n">
        <v>6</v>
      </c>
      <c r="I37" t="n">
        <v>2</v>
      </c>
      <c r="J37" t="n">
        <v>3</v>
      </c>
      <c r="K37" t="n">
        <v>2</v>
      </c>
      <c r="L37" t="n">
        <v>0</v>
      </c>
      <c r="M37" t="n">
        <v>0</v>
      </c>
      <c r="N37" t="n">
        <v>0</v>
      </c>
      <c r="O37" t="n">
        <v>5</v>
      </c>
      <c r="P37" t="n">
        <v>2</v>
      </c>
      <c r="Q37" t="n">
        <v>10</v>
      </c>
      <c r="R37" s="2" t="inlineStr">
        <is>
          <t>Doftticka
Knärot
Garnlav
Lunglav
Tretåig hackspett
Stuplav
Vedticka
Kungsfågel
Skogsduva
Revlummer</t>
        </is>
      </c>
      <c r="S37">
        <f>HYPERLINK("https://klasma.github.io/Logging_2421/artfynd/A 28164-2020 artfynd.xlsx", "A 28164-2020")</f>
        <v/>
      </c>
      <c r="T37">
        <f>HYPERLINK("https://klasma.github.io/Logging_2421/kartor/A 28164-2020 karta.png", "A 28164-2020")</f>
        <v/>
      </c>
      <c r="U37">
        <f>HYPERLINK("https://klasma.github.io/Logging_2421/knärot/A 28164-2020 karta knärot.png", "A 28164-2020")</f>
        <v/>
      </c>
      <c r="V37">
        <f>HYPERLINK("https://klasma.github.io/Logging_2421/klagomål/A 28164-2020 FSC-klagomål.docx", "A 28164-2020")</f>
        <v/>
      </c>
      <c r="W37">
        <f>HYPERLINK("https://klasma.github.io/Logging_2421/klagomålsmail/A 28164-2020 FSC-klagomål mail.docx", "A 28164-2020")</f>
        <v/>
      </c>
      <c r="X37">
        <f>HYPERLINK("https://klasma.github.io/Logging_2421/tillsyn/A 28164-2020 tillsynsbegäran.docx", "A 28164-2020")</f>
        <v/>
      </c>
      <c r="Y37">
        <f>HYPERLINK("https://klasma.github.io/Logging_2421/tillsynsmail/A 28164-2020 tillsynsbegäran mail.docx", "A 28164-2020")</f>
        <v/>
      </c>
      <c r="Z37">
        <f>HYPERLINK("https://klasma.github.io/Logging_2421/fåglar/A 28164-2020 prioriterade fågelarter.docx", "A 28164-2020")</f>
        <v/>
      </c>
    </row>
    <row r="38" ht="15" customHeight="1">
      <c r="A38" t="inlineStr">
        <is>
          <t>A 43934-2020</t>
        </is>
      </c>
      <c r="B38" s="1" t="n">
        <v>44078</v>
      </c>
      <c r="C38" s="1" t="n">
        <v>45826</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10934-2021</t>
        </is>
      </c>
      <c r="B39" s="1" t="n">
        <v>44259</v>
      </c>
      <c r="C39" s="1" t="n">
        <v>45826</v>
      </c>
      <c r="D39" t="inlineStr">
        <is>
          <t>VÄSTERBOTTENS LÄN</t>
        </is>
      </c>
      <c r="E39" t="inlineStr">
        <is>
          <t>STORUMAN</t>
        </is>
      </c>
      <c r="G39" t="n">
        <v>11.7</v>
      </c>
      <c r="H39" t="n">
        <v>0</v>
      </c>
      <c r="I39" t="n">
        <v>2</v>
      </c>
      <c r="J39" t="n">
        <v>7</v>
      </c>
      <c r="K39" t="n">
        <v>1</v>
      </c>
      <c r="L39" t="n">
        <v>0</v>
      </c>
      <c r="M39" t="n">
        <v>0</v>
      </c>
      <c r="N39" t="n">
        <v>0</v>
      </c>
      <c r="O39" t="n">
        <v>8</v>
      </c>
      <c r="P39" t="n">
        <v>1</v>
      </c>
      <c r="Q39" t="n">
        <v>10</v>
      </c>
      <c r="R39" s="2" t="inlineStr">
        <is>
          <t>Fläckporing
Blanksvart spiklav
Blågrå svartspik
Dvärgbägarlav
Mörk kolflarnlav
Nordtagging
Vedflamlav
Vedskivlav
Dropptaggsvamp
Skinnlav</t>
        </is>
      </c>
      <c r="S39">
        <f>HYPERLINK("https://klasma.github.io/Logging_2421/artfynd/A 10934-2021 artfynd.xlsx", "A 10934-2021")</f>
        <v/>
      </c>
      <c r="T39">
        <f>HYPERLINK("https://klasma.github.io/Logging_2421/kartor/A 10934-2021 karta.png", "A 10934-2021")</f>
        <v/>
      </c>
      <c r="V39">
        <f>HYPERLINK("https://klasma.github.io/Logging_2421/klagomål/A 10934-2021 FSC-klagomål.docx", "A 10934-2021")</f>
        <v/>
      </c>
      <c r="W39">
        <f>HYPERLINK("https://klasma.github.io/Logging_2421/klagomålsmail/A 10934-2021 FSC-klagomål mail.docx", "A 10934-2021")</f>
        <v/>
      </c>
      <c r="X39">
        <f>HYPERLINK("https://klasma.github.io/Logging_2421/tillsyn/A 10934-2021 tillsynsbegäran.docx", "A 10934-2021")</f>
        <v/>
      </c>
      <c r="Y39">
        <f>HYPERLINK("https://klasma.github.io/Logging_2421/tillsynsmail/A 10934-2021 tillsynsbegäran mail.docx", "A 10934-2021")</f>
        <v/>
      </c>
    </row>
    <row r="40" ht="15" customHeight="1">
      <c r="A40" t="inlineStr">
        <is>
          <t>A 72173-2021</t>
        </is>
      </c>
      <c r="B40" s="1" t="n">
        <v>44543</v>
      </c>
      <c r="C40" s="1" t="n">
        <v>45826</v>
      </c>
      <c r="D40" t="inlineStr">
        <is>
          <t>VÄSTERBOTTENS LÄN</t>
        </is>
      </c>
      <c r="E40" t="inlineStr">
        <is>
          <t>STORUMAN</t>
        </is>
      </c>
      <c r="G40" t="n">
        <v>23</v>
      </c>
      <c r="H40" t="n">
        <v>2</v>
      </c>
      <c r="I40" t="n">
        <v>4</v>
      </c>
      <c r="J40" t="n">
        <v>5</v>
      </c>
      <c r="K40" t="n">
        <v>0</v>
      </c>
      <c r="L40" t="n">
        <v>0</v>
      </c>
      <c r="M40" t="n">
        <v>0</v>
      </c>
      <c r="N40" t="n">
        <v>0</v>
      </c>
      <c r="O40" t="n">
        <v>5</v>
      </c>
      <c r="P40" t="n">
        <v>0</v>
      </c>
      <c r="Q40" t="n">
        <v>10</v>
      </c>
      <c r="R40" s="2" t="inlineStr">
        <is>
          <t>Garnlav
Granticka
Harticka
Skrovellav
Ullticka
Blodticka
Gräsull
Spindelblomster
Stuplav
Brudsporre</t>
        </is>
      </c>
      <c r="S40">
        <f>HYPERLINK("https://klasma.github.io/Logging_2421/artfynd/A 72173-2021 artfynd.xlsx", "A 72173-2021")</f>
        <v/>
      </c>
      <c r="T40">
        <f>HYPERLINK("https://klasma.github.io/Logging_2421/kartor/A 72173-2021 karta.png", "A 72173-2021")</f>
        <v/>
      </c>
      <c r="V40">
        <f>HYPERLINK("https://klasma.github.io/Logging_2421/klagomål/A 72173-2021 FSC-klagomål.docx", "A 72173-2021")</f>
        <v/>
      </c>
      <c r="W40">
        <f>HYPERLINK("https://klasma.github.io/Logging_2421/klagomålsmail/A 72173-2021 FSC-klagomål mail.docx", "A 72173-2021")</f>
        <v/>
      </c>
      <c r="X40">
        <f>HYPERLINK("https://klasma.github.io/Logging_2421/tillsyn/A 72173-2021 tillsynsbegäran.docx", "A 72173-2021")</f>
        <v/>
      </c>
      <c r="Y40">
        <f>HYPERLINK("https://klasma.github.io/Logging_2421/tillsynsmail/A 72173-2021 tillsynsbegäran mail.docx", "A 72173-2021")</f>
        <v/>
      </c>
    </row>
    <row r="41" ht="15" customHeight="1">
      <c r="A41" t="inlineStr">
        <is>
          <t>A 3370-2022</t>
        </is>
      </c>
      <c r="B41" s="1" t="n">
        <v>44585</v>
      </c>
      <c r="C41" s="1" t="n">
        <v>45826</v>
      </c>
      <c r="D41" t="inlineStr">
        <is>
          <t>VÄSTERBOTTENS LÄN</t>
        </is>
      </c>
      <c r="E41" t="inlineStr">
        <is>
          <t>STORUMAN</t>
        </is>
      </c>
      <c r="G41" t="n">
        <v>1.7</v>
      </c>
      <c r="H41" t="n">
        <v>4</v>
      </c>
      <c r="I41" t="n">
        <v>2</v>
      </c>
      <c r="J41" t="n">
        <v>7</v>
      </c>
      <c r="K41" t="n">
        <v>0</v>
      </c>
      <c r="L41" t="n">
        <v>0</v>
      </c>
      <c r="M41" t="n">
        <v>0</v>
      </c>
      <c r="N41" t="n">
        <v>0</v>
      </c>
      <c r="O41" t="n">
        <v>7</v>
      </c>
      <c r="P41" t="n">
        <v>0</v>
      </c>
      <c r="Q41" t="n">
        <v>10</v>
      </c>
      <c r="R41" s="2" t="inlineStr">
        <is>
          <t>Garnlav
Granticka
Rödbrun blekspik
Skrovellav
Spillkråka
Talltita
Vitgrynig nållav
Spindelblomster
Stuplav
Revlummer</t>
        </is>
      </c>
      <c r="S41">
        <f>HYPERLINK("https://klasma.github.io/Logging_2421/artfynd/A 3370-2022 artfynd.xlsx", "A 3370-2022")</f>
        <v/>
      </c>
      <c r="T41">
        <f>HYPERLINK("https://klasma.github.io/Logging_2421/kartor/A 3370-2022 karta.png", "A 3370-2022")</f>
        <v/>
      </c>
      <c r="V41">
        <f>HYPERLINK("https://klasma.github.io/Logging_2421/klagomål/A 3370-2022 FSC-klagomål.docx", "A 3370-2022")</f>
        <v/>
      </c>
      <c r="W41">
        <f>HYPERLINK("https://klasma.github.io/Logging_2421/klagomålsmail/A 3370-2022 FSC-klagomål mail.docx", "A 3370-2022")</f>
        <v/>
      </c>
      <c r="X41">
        <f>HYPERLINK("https://klasma.github.io/Logging_2421/tillsyn/A 3370-2022 tillsynsbegäran.docx", "A 3370-2022")</f>
        <v/>
      </c>
      <c r="Y41">
        <f>HYPERLINK("https://klasma.github.io/Logging_2421/tillsynsmail/A 3370-2022 tillsynsbegäran mail.docx", "A 3370-2022")</f>
        <v/>
      </c>
      <c r="Z41">
        <f>HYPERLINK("https://klasma.github.io/Logging_2421/fåglar/A 3370-2022 prioriterade fågelarter.docx", "A 3370-2022")</f>
        <v/>
      </c>
    </row>
    <row r="42" ht="15" customHeight="1">
      <c r="A42" t="inlineStr">
        <is>
          <t>A 6207-2021</t>
        </is>
      </c>
      <c r="B42" s="1" t="n">
        <v>44232</v>
      </c>
      <c r="C42" s="1" t="n">
        <v>45826</v>
      </c>
      <c r="D42" t="inlineStr">
        <is>
          <t>VÄSTERBOTTENS LÄN</t>
        </is>
      </c>
      <c r="E42" t="inlineStr">
        <is>
          <t>STORUMAN</t>
        </is>
      </c>
      <c r="G42" t="n">
        <v>23</v>
      </c>
      <c r="H42" t="n">
        <v>2</v>
      </c>
      <c r="I42" t="n">
        <v>3</v>
      </c>
      <c r="J42" t="n">
        <v>3</v>
      </c>
      <c r="K42" t="n">
        <v>2</v>
      </c>
      <c r="L42" t="n">
        <v>0</v>
      </c>
      <c r="M42" t="n">
        <v>0</v>
      </c>
      <c r="N42" t="n">
        <v>0</v>
      </c>
      <c r="O42" t="n">
        <v>5</v>
      </c>
      <c r="P42" t="n">
        <v>2</v>
      </c>
      <c r="Q42" t="n">
        <v>9</v>
      </c>
      <c r="R42" s="2" t="inlineStr">
        <is>
          <t>Doftticka
Lappticka
Granticka
Skrovellav
Ullticka
Bårdlav
Skinnlav
Stuplav
Fläcknycklar</t>
        </is>
      </c>
      <c r="S42">
        <f>HYPERLINK("https://klasma.github.io/Logging_2421/artfynd/A 6207-2021 artfynd.xlsx", "A 6207-2021")</f>
        <v/>
      </c>
      <c r="T42">
        <f>HYPERLINK("https://klasma.github.io/Logging_2421/kartor/A 6207-2021 karta.png", "A 6207-2021")</f>
        <v/>
      </c>
      <c r="V42">
        <f>HYPERLINK("https://klasma.github.io/Logging_2421/klagomål/A 6207-2021 FSC-klagomål.docx", "A 6207-2021")</f>
        <v/>
      </c>
      <c r="W42">
        <f>HYPERLINK("https://klasma.github.io/Logging_2421/klagomålsmail/A 6207-2021 FSC-klagomål mail.docx", "A 6207-2021")</f>
        <v/>
      </c>
      <c r="X42">
        <f>HYPERLINK("https://klasma.github.io/Logging_2421/tillsyn/A 6207-2021 tillsynsbegäran.docx", "A 6207-2021")</f>
        <v/>
      </c>
      <c r="Y42">
        <f>HYPERLINK("https://klasma.github.io/Logging_2421/tillsynsmail/A 6207-2021 tillsynsbegäran mail.docx", "A 6207-2021")</f>
        <v/>
      </c>
    </row>
    <row r="43" ht="15" customHeight="1">
      <c r="A43" t="inlineStr">
        <is>
          <t>A 24709-2022</t>
        </is>
      </c>
      <c r="B43" s="1" t="n">
        <v>44727</v>
      </c>
      <c r="C43" s="1" t="n">
        <v>45826</v>
      </c>
      <c r="D43" t="inlineStr">
        <is>
          <t>VÄSTERBOTTENS LÄN</t>
        </is>
      </c>
      <c r="E43" t="inlineStr">
        <is>
          <t>STORUMAN</t>
        </is>
      </c>
      <c r="G43" t="n">
        <v>21</v>
      </c>
      <c r="H43" t="n">
        <v>1</v>
      </c>
      <c r="I43" t="n">
        <v>3</v>
      </c>
      <c r="J43" t="n">
        <v>5</v>
      </c>
      <c r="K43" t="n">
        <v>0</v>
      </c>
      <c r="L43" t="n">
        <v>0</v>
      </c>
      <c r="M43" t="n">
        <v>0</v>
      </c>
      <c r="N43" t="n">
        <v>0</v>
      </c>
      <c r="O43" t="n">
        <v>5</v>
      </c>
      <c r="P43" t="n">
        <v>0</v>
      </c>
      <c r="Q43" t="n">
        <v>9</v>
      </c>
      <c r="R43" s="2" t="inlineStr">
        <is>
          <t>Gammelgransskål
Garnlav
Granticka
Harticka
Skrovellav
Bårdlav
Luddlav
Stuplav
Lavskrika</t>
        </is>
      </c>
      <c r="S43">
        <f>HYPERLINK("https://klasma.github.io/Logging_2421/artfynd/A 24709-2022 artfynd.xlsx", "A 24709-2022")</f>
        <v/>
      </c>
      <c r="T43">
        <f>HYPERLINK("https://klasma.github.io/Logging_2421/kartor/A 24709-2022 karta.png", "A 24709-2022")</f>
        <v/>
      </c>
      <c r="V43">
        <f>HYPERLINK("https://klasma.github.io/Logging_2421/klagomål/A 24709-2022 FSC-klagomål.docx", "A 24709-2022")</f>
        <v/>
      </c>
      <c r="W43">
        <f>HYPERLINK("https://klasma.github.io/Logging_2421/klagomålsmail/A 24709-2022 FSC-klagomål mail.docx", "A 24709-2022")</f>
        <v/>
      </c>
      <c r="X43">
        <f>HYPERLINK("https://klasma.github.io/Logging_2421/tillsyn/A 24709-2022 tillsynsbegäran.docx", "A 24709-2022")</f>
        <v/>
      </c>
      <c r="Y43">
        <f>HYPERLINK("https://klasma.github.io/Logging_2421/tillsynsmail/A 24709-2022 tillsynsbegäran mail.docx", "A 24709-2022")</f>
        <v/>
      </c>
      <c r="Z43">
        <f>HYPERLINK("https://klasma.github.io/Logging_2421/fåglar/A 24709-2022 prioriterade fågelarter.docx", "A 24709-2022")</f>
        <v/>
      </c>
    </row>
    <row r="44" ht="15" customHeight="1">
      <c r="A44" t="inlineStr">
        <is>
          <t>A 59248-2019</t>
        </is>
      </c>
      <c r="B44" s="1" t="n">
        <v>43775</v>
      </c>
      <c r="C44" s="1" t="n">
        <v>45826</v>
      </c>
      <c r="D44" t="inlineStr">
        <is>
          <t>VÄSTERBOTTENS LÄN</t>
        </is>
      </c>
      <c r="E44" t="inlineStr">
        <is>
          <t>STORUMAN</t>
        </is>
      </c>
      <c r="F44" t="inlineStr">
        <is>
          <t>Sveaskog</t>
        </is>
      </c>
      <c r="G44" t="n">
        <v>11.6</v>
      </c>
      <c r="H44" t="n">
        <v>2</v>
      </c>
      <c r="I44" t="n">
        <v>3</v>
      </c>
      <c r="J44" t="n">
        <v>3</v>
      </c>
      <c r="K44" t="n">
        <v>0</v>
      </c>
      <c r="L44" t="n">
        <v>0</v>
      </c>
      <c r="M44" t="n">
        <v>0</v>
      </c>
      <c r="N44" t="n">
        <v>0</v>
      </c>
      <c r="O44" t="n">
        <v>3</v>
      </c>
      <c r="P44" t="n">
        <v>0</v>
      </c>
      <c r="Q44" t="n">
        <v>8</v>
      </c>
      <c r="R44" s="2" t="inlineStr">
        <is>
          <t>Blågrå svartspik
Garnlav
Kolflarnlav
Dropptaggsvamp
Norrlandslav
Stuplav
Orre
Fläcknycklar</t>
        </is>
      </c>
      <c r="S44">
        <f>HYPERLINK("https://klasma.github.io/Logging_2421/artfynd/A 59248-2019 artfynd.xlsx", "A 59248-2019")</f>
        <v/>
      </c>
      <c r="T44">
        <f>HYPERLINK("https://klasma.github.io/Logging_2421/kartor/A 59248-2019 karta.png", "A 59248-2019")</f>
        <v/>
      </c>
      <c r="V44">
        <f>HYPERLINK("https://klasma.github.io/Logging_2421/klagomål/A 59248-2019 FSC-klagomål.docx", "A 59248-2019")</f>
        <v/>
      </c>
      <c r="W44">
        <f>HYPERLINK("https://klasma.github.io/Logging_2421/klagomålsmail/A 59248-2019 FSC-klagomål mail.docx", "A 59248-2019")</f>
        <v/>
      </c>
      <c r="X44">
        <f>HYPERLINK("https://klasma.github.io/Logging_2421/tillsyn/A 59248-2019 tillsynsbegäran.docx", "A 59248-2019")</f>
        <v/>
      </c>
      <c r="Y44">
        <f>HYPERLINK("https://klasma.github.io/Logging_2421/tillsynsmail/A 59248-2019 tillsynsbegäran mail.docx", "A 59248-2019")</f>
        <v/>
      </c>
      <c r="Z44">
        <f>HYPERLINK("https://klasma.github.io/Logging_2421/fåglar/A 59248-2019 prioriterade fågelarter.docx", "A 59248-2019")</f>
        <v/>
      </c>
    </row>
    <row r="45" ht="15" customHeight="1">
      <c r="A45" t="inlineStr">
        <is>
          <t>A 72168-2021</t>
        </is>
      </c>
      <c r="B45" s="1" t="n">
        <v>44543</v>
      </c>
      <c r="C45" s="1" t="n">
        <v>45826</v>
      </c>
      <c r="D45" t="inlineStr">
        <is>
          <t>VÄSTERBOTTENS LÄN</t>
        </is>
      </c>
      <c r="E45" t="inlineStr">
        <is>
          <t>STORUMAN</t>
        </is>
      </c>
      <c r="G45" t="n">
        <v>16</v>
      </c>
      <c r="H45" t="n">
        <v>2</v>
      </c>
      <c r="I45" t="n">
        <v>3</v>
      </c>
      <c r="J45" t="n">
        <v>4</v>
      </c>
      <c r="K45" t="n">
        <v>0</v>
      </c>
      <c r="L45" t="n">
        <v>0</v>
      </c>
      <c r="M45" t="n">
        <v>0</v>
      </c>
      <c r="N45" t="n">
        <v>0</v>
      </c>
      <c r="O45" t="n">
        <v>4</v>
      </c>
      <c r="P45" t="n">
        <v>0</v>
      </c>
      <c r="Q45" t="n">
        <v>8</v>
      </c>
      <c r="R45" s="2" t="inlineStr">
        <is>
          <t>Garnlav
Skorpgelélav
Skrovellav
Talltita
Bårdlav
Luddlav
Stuplav
Brudsporre</t>
        </is>
      </c>
      <c r="S45">
        <f>HYPERLINK("https://klasma.github.io/Logging_2421/artfynd/A 72168-2021 artfynd.xlsx", "A 72168-2021")</f>
        <v/>
      </c>
      <c r="T45">
        <f>HYPERLINK("https://klasma.github.io/Logging_2421/kartor/A 72168-2021 karta.png", "A 72168-2021")</f>
        <v/>
      </c>
      <c r="V45">
        <f>HYPERLINK("https://klasma.github.io/Logging_2421/klagomål/A 72168-2021 FSC-klagomål.docx", "A 72168-2021")</f>
        <v/>
      </c>
      <c r="W45">
        <f>HYPERLINK("https://klasma.github.io/Logging_2421/klagomålsmail/A 72168-2021 FSC-klagomål mail.docx", "A 72168-2021")</f>
        <v/>
      </c>
      <c r="X45">
        <f>HYPERLINK("https://klasma.github.io/Logging_2421/tillsyn/A 72168-2021 tillsynsbegäran.docx", "A 72168-2021")</f>
        <v/>
      </c>
      <c r="Y45">
        <f>HYPERLINK("https://klasma.github.io/Logging_2421/tillsynsmail/A 72168-2021 tillsynsbegäran mail.docx", "A 72168-2021")</f>
        <v/>
      </c>
      <c r="Z45">
        <f>HYPERLINK("https://klasma.github.io/Logging_2421/fåglar/A 72168-2021 prioriterade fågelarter.docx", "A 72168-2021")</f>
        <v/>
      </c>
    </row>
    <row r="46" ht="15" customHeight="1">
      <c r="A46" t="inlineStr">
        <is>
          <t>A 45364-2022</t>
        </is>
      </c>
      <c r="B46" s="1" t="n">
        <v>44841</v>
      </c>
      <c r="C46" s="1" t="n">
        <v>45826</v>
      </c>
      <c r="D46" t="inlineStr">
        <is>
          <t>VÄSTERBOTTENS LÄN</t>
        </is>
      </c>
      <c r="E46" t="inlineStr">
        <is>
          <t>STORUMAN</t>
        </is>
      </c>
      <c r="G46" t="n">
        <v>19.1</v>
      </c>
      <c r="H46" t="n">
        <v>2</v>
      </c>
      <c r="I46" t="n">
        <v>1</v>
      </c>
      <c r="J46" t="n">
        <v>7</v>
      </c>
      <c r="K46" t="n">
        <v>0</v>
      </c>
      <c r="L46" t="n">
        <v>0</v>
      </c>
      <c r="M46" t="n">
        <v>0</v>
      </c>
      <c r="N46" t="n">
        <v>0</v>
      </c>
      <c r="O46" t="n">
        <v>7</v>
      </c>
      <c r="P46" t="n">
        <v>0</v>
      </c>
      <c r="Q46" t="n">
        <v>8</v>
      </c>
      <c r="R46" s="2" t="inlineStr">
        <is>
          <t>Doftskinn
Gammelgransskål
Garnlav
Granticka
Harticka
Rosenticka
Tretåig hackspett
Spindelblomster</t>
        </is>
      </c>
      <c r="S46">
        <f>HYPERLINK("https://klasma.github.io/Logging_2421/artfynd/A 45364-2022 artfynd.xlsx", "A 45364-2022")</f>
        <v/>
      </c>
      <c r="T46">
        <f>HYPERLINK("https://klasma.github.io/Logging_2421/kartor/A 45364-2022 karta.png", "A 45364-2022")</f>
        <v/>
      </c>
      <c r="V46">
        <f>HYPERLINK("https://klasma.github.io/Logging_2421/klagomål/A 45364-2022 FSC-klagomål.docx", "A 45364-2022")</f>
        <v/>
      </c>
      <c r="W46">
        <f>HYPERLINK("https://klasma.github.io/Logging_2421/klagomålsmail/A 45364-2022 FSC-klagomål mail.docx", "A 45364-2022")</f>
        <v/>
      </c>
      <c r="X46">
        <f>HYPERLINK("https://klasma.github.io/Logging_2421/tillsyn/A 45364-2022 tillsynsbegäran.docx", "A 45364-2022")</f>
        <v/>
      </c>
      <c r="Y46">
        <f>HYPERLINK("https://klasma.github.io/Logging_2421/tillsynsmail/A 45364-2022 tillsynsbegäran mail.docx", "A 45364-2022")</f>
        <v/>
      </c>
      <c r="Z46">
        <f>HYPERLINK("https://klasma.github.io/Logging_2421/fåglar/A 45364-2022 prioriterade fågelarter.docx", "A 45364-2022")</f>
        <v/>
      </c>
    </row>
    <row r="47" ht="15" customHeight="1">
      <c r="A47" t="inlineStr">
        <is>
          <t>A 28001-2023</t>
        </is>
      </c>
      <c r="B47" s="1" t="n">
        <v>45098</v>
      </c>
      <c r="C47" s="1" t="n">
        <v>45826</v>
      </c>
      <c r="D47" t="inlineStr">
        <is>
          <t>VÄSTERBOTTENS LÄN</t>
        </is>
      </c>
      <c r="E47" t="inlineStr">
        <is>
          <t>STORUMAN</t>
        </is>
      </c>
      <c r="G47" t="n">
        <v>14.2</v>
      </c>
      <c r="H47" t="n">
        <v>1</v>
      </c>
      <c r="I47" t="n">
        <v>1</v>
      </c>
      <c r="J47" t="n">
        <v>7</v>
      </c>
      <c r="K47" t="n">
        <v>0</v>
      </c>
      <c r="L47" t="n">
        <v>0</v>
      </c>
      <c r="M47" t="n">
        <v>0</v>
      </c>
      <c r="N47" t="n">
        <v>0</v>
      </c>
      <c r="O47" t="n">
        <v>7</v>
      </c>
      <c r="P47" t="n">
        <v>0</v>
      </c>
      <c r="Q47" t="n">
        <v>8</v>
      </c>
      <c r="R47" s="2" t="inlineStr">
        <is>
          <t>Blå taggsvamp
Doftskinn
Garnlav
Mörk kolflarnlav
Skrovlig taggsvamp
Spillkråka
Ullticka
Dropptaggsvamp</t>
        </is>
      </c>
      <c r="S47">
        <f>HYPERLINK("https://klasma.github.io/Logging_2421/artfynd/A 28001-2023 artfynd.xlsx", "A 28001-2023")</f>
        <v/>
      </c>
      <c r="T47">
        <f>HYPERLINK("https://klasma.github.io/Logging_2421/kartor/A 28001-2023 karta.png", "A 28001-2023")</f>
        <v/>
      </c>
      <c r="V47">
        <f>HYPERLINK("https://klasma.github.io/Logging_2421/klagomål/A 28001-2023 FSC-klagomål.docx", "A 28001-2023")</f>
        <v/>
      </c>
      <c r="W47">
        <f>HYPERLINK("https://klasma.github.io/Logging_2421/klagomålsmail/A 28001-2023 FSC-klagomål mail.docx", "A 28001-2023")</f>
        <v/>
      </c>
      <c r="X47">
        <f>HYPERLINK("https://klasma.github.io/Logging_2421/tillsyn/A 28001-2023 tillsynsbegäran.docx", "A 28001-2023")</f>
        <v/>
      </c>
      <c r="Y47">
        <f>HYPERLINK("https://klasma.github.io/Logging_2421/tillsynsmail/A 28001-2023 tillsynsbegäran mail.docx", "A 28001-2023")</f>
        <v/>
      </c>
      <c r="Z47">
        <f>HYPERLINK("https://klasma.github.io/Logging_2421/fåglar/A 28001-2023 prioriterade fågelarter.docx", "A 28001-2023")</f>
        <v/>
      </c>
    </row>
    <row r="48" ht="15" customHeight="1">
      <c r="A48" t="inlineStr">
        <is>
          <t>A 51856-2019</t>
        </is>
      </c>
      <c r="B48" s="1" t="n">
        <v>43741</v>
      </c>
      <c r="C48" s="1" t="n">
        <v>45826</v>
      </c>
      <c r="D48" t="inlineStr">
        <is>
          <t>VÄSTERBOTTENS LÄN</t>
        </is>
      </c>
      <c r="E48" t="inlineStr">
        <is>
          <t>STORUMAN</t>
        </is>
      </c>
      <c r="F48" t="inlineStr">
        <is>
          <t>Sveaskog</t>
        </is>
      </c>
      <c r="G48" t="n">
        <v>4.8</v>
      </c>
      <c r="H48" t="n">
        <v>4</v>
      </c>
      <c r="I48" t="n">
        <v>3</v>
      </c>
      <c r="J48" t="n">
        <v>3</v>
      </c>
      <c r="K48" t="n">
        <v>1</v>
      </c>
      <c r="L48" t="n">
        <v>0</v>
      </c>
      <c r="M48" t="n">
        <v>0</v>
      </c>
      <c r="N48" t="n">
        <v>0</v>
      </c>
      <c r="O48" t="n">
        <v>4</v>
      </c>
      <c r="P48" t="n">
        <v>1</v>
      </c>
      <c r="Q48" t="n">
        <v>7</v>
      </c>
      <c r="R48" s="2" t="inlineStr">
        <is>
          <t>Knärot
Harticka
Spillkråka
Tretåig hackspett
Bårdlav
Dropptaggsvamp
Korallrot</t>
        </is>
      </c>
      <c r="S48">
        <f>HYPERLINK("https://klasma.github.io/Logging_2421/artfynd/A 51856-2019 artfynd.xlsx", "A 51856-2019")</f>
        <v/>
      </c>
      <c r="T48">
        <f>HYPERLINK("https://klasma.github.io/Logging_2421/kartor/A 51856-2019 karta.png", "A 51856-2019")</f>
        <v/>
      </c>
      <c r="U48">
        <f>HYPERLINK("https://klasma.github.io/Logging_2421/knärot/A 51856-2019 karta knärot.png", "A 51856-2019")</f>
        <v/>
      </c>
      <c r="V48">
        <f>HYPERLINK("https://klasma.github.io/Logging_2421/klagomål/A 51856-2019 FSC-klagomål.docx", "A 51856-2019")</f>
        <v/>
      </c>
      <c r="W48">
        <f>HYPERLINK("https://klasma.github.io/Logging_2421/klagomålsmail/A 51856-2019 FSC-klagomål mail.docx", "A 51856-2019")</f>
        <v/>
      </c>
      <c r="X48">
        <f>HYPERLINK("https://klasma.github.io/Logging_2421/tillsyn/A 51856-2019 tillsynsbegäran.docx", "A 51856-2019")</f>
        <v/>
      </c>
      <c r="Y48">
        <f>HYPERLINK("https://klasma.github.io/Logging_2421/tillsynsmail/A 51856-2019 tillsynsbegäran mail.docx", "A 51856-2019")</f>
        <v/>
      </c>
      <c r="Z48">
        <f>HYPERLINK("https://klasma.github.io/Logging_2421/fåglar/A 51856-2019 prioriterade fågelarter.docx", "A 51856-2019")</f>
        <v/>
      </c>
    </row>
    <row r="49" ht="15" customHeight="1">
      <c r="A49" t="inlineStr">
        <is>
          <t>A 42930-2020</t>
        </is>
      </c>
      <c r="B49" s="1" t="n">
        <v>44078</v>
      </c>
      <c r="C49" s="1" t="n">
        <v>45826</v>
      </c>
      <c r="D49" t="inlineStr">
        <is>
          <t>VÄSTERBOTTENS LÄN</t>
        </is>
      </c>
      <c r="E49" t="inlineStr">
        <is>
          <t>STORUMAN</t>
        </is>
      </c>
      <c r="F49" t="inlineStr">
        <is>
          <t>Sveaskog</t>
        </is>
      </c>
      <c r="G49" t="n">
        <v>3.1</v>
      </c>
      <c r="H49" t="n">
        <v>1</v>
      </c>
      <c r="I49" t="n">
        <v>2</v>
      </c>
      <c r="J49" t="n">
        <v>5</v>
      </c>
      <c r="K49" t="n">
        <v>0</v>
      </c>
      <c r="L49" t="n">
        <v>0</v>
      </c>
      <c r="M49" t="n">
        <v>0</v>
      </c>
      <c r="N49" t="n">
        <v>0</v>
      </c>
      <c r="O49" t="n">
        <v>5</v>
      </c>
      <c r="P49" t="n">
        <v>0</v>
      </c>
      <c r="Q49" t="n">
        <v>7</v>
      </c>
      <c r="R49" s="2" t="inlineStr">
        <is>
          <t>Garnlav
Kolflarnlav
Lunglav
Tretåig hackspett
Vitgrynig nållav
Dropptaggsvamp
Stuplav</t>
        </is>
      </c>
      <c r="S49">
        <f>HYPERLINK("https://klasma.github.io/Logging_2421/artfynd/A 42930-2020 artfynd.xlsx", "A 42930-2020")</f>
        <v/>
      </c>
      <c r="T49">
        <f>HYPERLINK("https://klasma.github.io/Logging_2421/kartor/A 42930-2020 karta.png", "A 42930-2020")</f>
        <v/>
      </c>
      <c r="U49">
        <f>HYPERLINK("https://klasma.github.io/Logging_2421/knärot/A 42930-2020 karta knärot.png", "A 42930-2020")</f>
        <v/>
      </c>
      <c r="V49">
        <f>HYPERLINK("https://klasma.github.io/Logging_2421/klagomål/A 42930-2020 FSC-klagomål.docx", "A 42930-2020")</f>
        <v/>
      </c>
      <c r="W49">
        <f>HYPERLINK("https://klasma.github.io/Logging_2421/klagomålsmail/A 42930-2020 FSC-klagomål mail.docx", "A 42930-2020")</f>
        <v/>
      </c>
      <c r="X49">
        <f>HYPERLINK("https://klasma.github.io/Logging_2421/tillsyn/A 42930-2020 tillsynsbegäran.docx", "A 42930-2020")</f>
        <v/>
      </c>
      <c r="Y49">
        <f>HYPERLINK("https://klasma.github.io/Logging_2421/tillsynsmail/A 42930-2020 tillsynsbegäran mail.docx", "A 42930-2020")</f>
        <v/>
      </c>
      <c r="Z49">
        <f>HYPERLINK("https://klasma.github.io/Logging_2421/fåglar/A 42930-2020 prioriterade fågelarter.docx", "A 42930-2020")</f>
        <v/>
      </c>
    </row>
    <row r="50" ht="15" customHeight="1">
      <c r="A50" t="inlineStr">
        <is>
          <t>A 3358-2022</t>
        </is>
      </c>
      <c r="B50" s="1" t="n">
        <v>44585</v>
      </c>
      <c r="C50" s="1" t="n">
        <v>45826</v>
      </c>
      <c r="D50" t="inlineStr">
        <is>
          <t>VÄSTERBOTTENS LÄN</t>
        </is>
      </c>
      <c r="E50" t="inlineStr">
        <is>
          <t>STORUMAN</t>
        </is>
      </c>
      <c r="G50" t="n">
        <v>1.8</v>
      </c>
      <c r="H50" t="n">
        <v>3</v>
      </c>
      <c r="I50" t="n">
        <v>1</v>
      </c>
      <c r="J50" t="n">
        <v>5</v>
      </c>
      <c r="K50" t="n">
        <v>0</v>
      </c>
      <c r="L50" t="n">
        <v>0</v>
      </c>
      <c r="M50" t="n">
        <v>0</v>
      </c>
      <c r="N50" t="n">
        <v>0</v>
      </c>
      <c r="O50" t="n">
        <v>5</v>
      </c>
      <c r="P50" t="n">
        <v>0</v>
      </c>
      <c r="Q50" t="n">
        <v>7</v>
      </c>
      <c r="R50" s="2" t="inlineStr">
        <is>
          <t>Garnlav
Rosenticka
Talltita
Tretåig hackspett
Ullticka
Finbräken
Skogsrör</t>
        </is>
      </c>
      <c r="S50">
        <f>HYPERLINK("https://klasma.github.io/Logging_2421/artfynd/A 3358-2022 artfynd.xlsx", "A 3358-2022")</f>
        <v/>
      </c>
      <c r="T50">
        <f>HYPERLINK("https://klasma.github.io/Logging_2421/kartor/A 3358-2022 karta.png", "A 3358-2022")</f>
        <v/>
      </c>
      <c r="V50">
        <f>HYPERLINK("https://klasma.github.io/Logging_2421/klagomål/A 3358-2022 FSC-klagomål.docx", "A 3358-2022")</f>
        <v/>
      </c>
      <c r="W50">
        <f>HYPERLINK("https://klasma.github.io/Logging_2421/klagomålsmail/A 3358-2022 FSC-klagomål mail.docx", "A 3358-2022")</f>
        <v/>
      </c>
      <c r="X50">
        <f>HYPERLINK("https://klasma.github.io/Logging_2421/tillsyn/A 3358-2022 tillsynsbegäran.docx", "A 3358-2022")</f>
        <v/>
      </c>
      <c r="Y50">
        <f>HYPERLINK("https://klasma.github.io/Logging_2421/tillsynsmail/A 3358-2022 tillsynsbegäran mail.docx", "A 3358-2022")</f>
        <v/>
      </c>
      <c r="Z50">
        <f>HYPERLINK("https://klasma.github.io/Logging_2421/fåglar/A 3358-2022 prioriterade fågelarter.docx", "A 3358-2022")</f>
        <v/>
      </c>
    </row>
    <row r="51" ht="15" customHeight="1">
      <c r="A51" t="inlineStr">
        <is>
          <t>A 14855-2024</t>
        </is>
      </c>
      <c r="B51" s="1" t="n">
        <v>45398</v>
      </c>
      <c r="C51" s="1" t="n">
        <v>45826</v>
      </c>
      <c r="D51" t="inlineStr">
        <is>
          <t>VÄSTERBOTTENS LÄN</t>
        </is>
      </c>
      <c r="E51" t="inlineStr">
        <is>
          <t>STORUMAN</t>
        </is>
      </c>
      <c r="G51" t="n">
        <v>31.1</v>
      </c>
      <c r="H51" t="n">
        <v>1</v>
      </c>
      <c r="I51" t="n">
        <v>1</v>
      </c>
      <c r="J51" t="n">
        <v>6</v>
      </c>
      <c r="K51" t="n">
        <v>0</v>
      </c>
      <c r="L51" t="n">
        <v>0</v>
      </c>
      <c r="M51" t="n">
        <v>0</v>
      </c>
      <c r="N51" t="n">
        <v>0</v>
      </c>
      <c r="O51" t="n">
        <v>6</v>
      </c>
      <c r="P51" t="n">
        <v>0</v>
      </c>
      <c r="Q51" t="n">
        <v>7</v>
      </c>
      <c r="R51" s="2" t="inlineStr">
        <is>
          <t>Granticka
Harticka
Knottrig blåslav
Rosenticka
Skrovellav
Tretåig hackspett
Skinnlav</t>
        </is>
      </c>
      <c r="S51">
        <f>HYPERLINK("https://klasma.github.io/Logging_2421/artfynd/A 14855-2024 artfynd.xlsx", "A 14855-2024")</f>
        <v/>
      </c>
      <c r="T51">
        <f>HYPERLINK("https://klasma.github.io/Logging_2421/kartor/A 14855-2024 karta.png", "A 14855-2024")</f>
        <v/>
      </c>
      <c r="V51">
        <f>HYPERLINK("https://klasma.github.io/Logging_2421/klagomål/A 14855-2024 FSC-klagomål.docx", "A 14855-2024")</f>
        <v/>
      </c>
      <c r="W51">
        <f>HYPERLINK("https://klasma.github.io/Logging_2421/klagomålsmail/A 14855-2024 FSC-klagomål mail.docx", "A 14855-2024")</f>
        <v/>
      </c>
      <c r="X51">
        <f>HYPERLINK("https://klasma.github.io/Logging_2421/tillsyn/A 14855-2024 tillsynsbegäran.docx", "A 14855-2024")</f>
        <v/>
      </c>
      <c r="Y51">
        <f>HYPERLINK("https://klasma.github.io/Logging_2421/tillsynsmail/A 14855-2024 tillsynsbegäran mail.docx", "A 14855-2024")</f>
        <v/>
      </c>
      <c r="Z51">
        <f>HYPERLINK("https://klasma.github.io/Logging_2421/fåglar/A 14855-2024 prioriterade fågelarter.docx", "A 14855-2024")</f>
        <v/>
      </c>
    </row>
    <row r="52" ht="15" customHeight="1">
      <c r="A52" t="inlineStr">
        <is>
          <t>A 21423-2024</t>
        </is>
      </c>
      <c r="B52" s="1" t="n">
        <v>45441</v>
      </c>
      <c r="C52" s="1" t="n">
        <v>45826</v>
      </c>
      <c r="D52" t="inlineStr">
        <is>
          <t>VÄSTERBOTTENS LÄN</t>
        </is>
      </c>
      <c r="E52" t="inlineStr">
        <is>
          <t>STORUMAN</t>
        </is>
      </c>
      <c r="F52" t="inlineStr">
        <is>
          <t>Allmännings- och besparingsskogar</t>
        </is>
      </c>
      <c r="G52" t="n">
        <v>13.4</v>
      </c>
      <c r="H52" t="n">
        <v>5</v>
      </c>
      <c r="I52" t="n">
        <v>2</v>
      </c>
      <c r="J52" t="n">
        <v>4</v>
      </c>
      <c r="K52" t="n">
        <v>0</v>
      </c>
      <c r="L52" t="n">
        <v>0</v>
      </c>
      <c r="M52" t="n">
        <v>0</v>
      </c>
      <c r="N52" t="n">
        <v>0</v>
      </c>
      <c r="O52" t="n">
        <v>4</v>
      </c>
      <c r="P52" t="n">
        <v>0</v>
      </c>
      <c r="Q52" t="n">
        <v>7</v>
      </c>
      <c r="R52" s="2" t="inlineStr">
        <is>
          <t>Garnlav
Granticka
Spillkråka
Tretåig hackspett
Plattlummer
Spindelblomster
Revlummer</t>
        </is>
      </c>
      <c r="S52">
        <f>HYPERLINK("https://klasma.github.io/Logging_2421/artfynd/A 21423-2024 artfynd.xlsx", "A 21423-2024")</f>
        <v/>
      </c>
      <c r="T52">
        <f>HYPERLINK("https://klasma.github.io/Logging_2421/kartor/A 21423-2024 karta.png", "A 21423-2024")</f>
        <v/>
      </c>
      <c r="V52">
        <f>HYPERLINK("https://klasma.github.io/Logging_2421/klagomål/A 21423-2024 FSC-klagomål.docx", "A 21423-2024")</f>
        <v/>
      </c>
      <c r="W52">
        <f>HYPERLINK("https://klasma.github.io/Logging_2421/klagomålsmail/A 21423-2024 FSC-klagomål mail.docx", "A 21423-2024")</f>
        <v/>
      </c>
      <c r="X52">
        <f>HYPERLINK("https://klasma.github.io/Logging_2421/tillsyn/A 21423-2024 tillsynsbegäran.docx", "A 21423-2024")</f>
        <v/>
      </c>
      <c r="Y52">
        <f>HYPERLINK("https://klasma.github.io/Logging_2421/tillsynsmail/A 21423-2024 tillsynsbegäran mail.docx", "A 21423-2024")</f>
        <v/>
      </c>
      <c r="Z52">
        <f>HYPERLINK("https://klasma.github.io/Logging_2421/fåglar/A 21423-2024 prioriterade fågelarter.docx", "A 21423-2024")</f>
        <v/>
      </c>
    </row>
    <row r="53" ht="15" customHeight="1">
      <c r="A53" t="inlineStr">
        <is>
          <t>A 5106-2021</t>
        </is>
      </c>
      <c r="B53" s="1" t="n">
        <v>44228</v>
      </c>
      <c r="C53" s="1" t="n">
        <v>45826</v>
      </c>
      <c r="D53" t="inlineStr">
        <is>
          <t>VÄSTERBOTTENS LÄN</t>
        </is>
      </c>
      <c r="E53" t="inlineStr">
        <is>
          <t>STORUMAN</t>
        </is>
      </c>
      <c r="F53" t="inlineStr">
        <is>
          <t>Sveaskog</t>
        </is>
      </c>
      <c r="G53" t="n">
        <v>15.5</v>
      </c>
      <c r="H53" t="n">
        <v>1</v>
      </c>
      <c r="I53" t="n">
        <v>0</v>
      </c>
      <c r="J53" t="n">
        <v>5</v>
      </c>
      <c r="K53" t="n">
        <v>1</v>
      </c>
      <c r="L53" t="n">
        <v>0</v>
      </c>
      <c r="M53" t="n">
        <v>0</v>
      </c>
      <c r="N53" t="n">
        <v>0</v>
      </c>
      <c r="O53" t="n">
        <v>6</v>
      </c>
      <c r="P53" t="n">
        <v>1</v>
      </c>
      <c r="Q53" t="n">
        <v>6</v>
      </c>
      <c r="R53" s="2" t="inlineStr">
        <is>
          <t>Tallgråticka
Garnlav
Motaggsvamp
Skrovlig taggsvamp
Tallticka
Talltita</t>
        </is>
      </c>
      <c r="S53">
        <f>HYPERLINK("https://klasma.github.io/Logging_2421/artfynd/A 5106-2021 artfynd.xlsx", "A 5106-2021")</f>
        <v/>
      </c>
      <c r="T53">
        <f>HYPERLINK("https://klasma.github.io/Logging_2421/kartor/A 5106-2021 karta.png", "A 5106-2021")</f>
        <v/>
      </c>
      <c r="V53">
        <f>HYPERLINK("https://klasma.github.io/Logging_2421/klagomål/A 5106-2021 FSC-klagomål.docx", "A 5106-2021")</f>
        <v/>
      </c>
      <c r="W53">
        <f>HYPERLINK("https://klasma.github.io/Logging_2421/klagomålsmail/A 5106-2021 FSC-klagomål mail.docx", "A 5106-2021")</f>
        <v/>
      </c>
      <c r="X53">
        <f>HYPERLINK("https://klasma.github.io/Logging_2421/tillsyn/A 5106-2021 tillsynsbegäran.docx", "A 5106-2021")</f>
        <v/>
      </c>
      <c r="Y53">
        <f>HYPERLINK("https://klasma.github.io/Logging_2421/tillsynsmail/A 5106-2021 tillsynsbegäran mail.docx", "A 5106-2021")</f>
        <v/>
      </c>
      <c r="Z53">
        <f>HYPERLINK("https://klasma.github.io/Logging_2421/fåglar/A 5106-2021 prioriterade fågelarter.docx", "A 5106-2021")</f>
        <v/>
      </c>
    </row>
    <row r="54" ht="15" customHeight="1">
      <c r="A54" t="inlineStr">
        <is>
          <t>A 42835-2021</t>
        </is>
      </c>
      <c r="B54" s="1" t="n">
        <v>44430</v>
      </c>
      <c r="C54" s="1" t="n">
        <v>45826</v>
      </c>
      <c r="D54" t="inlineStr">
        <is>
          <t>VÄSTERBOTTENS LÄN</t>
        </is>
      </c>
      <c r="E54" t="inlineStr">
        <is>
          <t>STORUMAN</t>
        </is>
      </c>
      <c r="F54" t="inlineStr">
        <is>
          <t>Övriga statliga verk och myndigheter</t>
        </is>
      </c>
      <c r="G54" t="n">
        <v>27.1</v>
      </c>
      <c r="H54" t="n">
        <v>2</v>
      </c>
      <c r="I54" t="n">
        <v>4</v>
      </c>
      <c r="J54" t="n">
        <v>2</v>
      </c>
      <c r="K54" t="n">
        <v>0</v>
      </c>
      <c r="L54" t="n">
        <v>0</v>
      </c>
      <c r="M54" t="n">
        <v>0</v>
      </c>
      <c r="N54" t="n">
        <v>0</v>
      </c>
      <c r="O54" t="n">
        <v>2</v>
      </c>
      <c r="P54" t="n">
        <v>0</v>
      </c>
      <c r="Q54" t="n">
        <v>6</v>
      </c>
      <c r="R54" s="2" t="inlineStr">
        <is>
          <t>Garnlav
Tretåig hackspett
Blodvaxing
Taggbräken
Tibast
Tvåblad</t>
        </is>
      </c>
      <c r="S54">
        <f>HYPERLINK("https://klasma.github.io/Logging_2421/artfynd/A 42835-2021 artfynd.xlsx", "A 42835-2021")</f>
        <v/>
      </c>
      <c r="T54">
        <f>HYPERLINK("https://klasma.github.io/Logging_2421/kartor/A 42835-2021 karta.png", "A 42835-2021")</f>
        <v/>
      </c>
      <c r="V54">
        <f>HYPERLINK("https://klasma.github.io/Logging_2421/klagomål/A 42835-2021 FSC-klagomål.docx", "A 42835-2021")</f>
        <v/>
      </c>
      <c r="W54">
        <f>HYPERLINK("https://klasma.github.io/Logging_2421/klagomålsmail/A 42835-2021 FSC-klagomål mail.docx", "A 42835-2021")</f>
        <v/>
      </c>
      <c r="X54">
        <f>HYPERLINK("https://klasma.github.io/Logging_2421/tillsyn/A 42835-2021 tillsynsbegäran.docx", "A 42835-2021")</f>
        <v/>
      </c>
      <c r="Y54">
        <f>HYPERLINK("https://klasma.github.io/Logging_2421/tillsynsmail/A 42835-2021 tillsynsbegäran mail.docx", "A 42835-2021")</f>
        <v/>
      </c>
      <c r="Z54">
        <f>HYPERLINK("https://klasma.github.io/Logging_2421/fåglar/A 42835-2021 prioriterade fågelarter.docx", "A 42835-2021")</f>
        <v/>
      </c>
    </row>
    <row r="55" ht="15" customHeight="1">
      <c r="A55" t="inlineStr">
        <is>
          <t>A 11586-2022</t>
        </is>
      </c>
      <c r="B55" s="1" t="n">
        <v>44631</v>
      </c>
      <c r="C55" s="1" t="n">
        <v>45826</v>
      </c>
      <c r="D55" t="inlineStr">
        <is>
          <t>VÄSTERBOTTENS LÄN</t>
        </is>
      </c>
      <c r="E55" t="inlineStr">
        <is>
          <t>STORUMAN</t>
        </is>
      </c>
      <c r="G55" t="n">
        <v>8.6</v>
      </c>
      <c r="H55" t="n">
        <v>3</v>
      </c>
      <c r="I55" t="n">
        <v>1</v>
      </c>
      <c r="J55" t="n">
        <v>3</v>
      </c>
      <c r="K55" t="n">
        <v>2</v>
      </c>
      <c r="L55" t="n">
        <v>0</v>
      </c>
      <c r="M55" t="n">
        <v>0</v>
      </c>
      <c r="N55" t="n">
        <v>0</v>
      </c>
      <c r="O55" t="n">
        <v>5</v>
      </c>
      <c r="P55" t="n">
        <v>2</v>
      </c>
      <c r="Q55" t="n">
        <v>6</v>
      </c>
      <c r="R55" s="2" t="inlineStr">
        <is>
          <t>Doftticka
Knärot
Lunglav
Stiftgelélav
Tretåig hackspett
Skinnlav</t>
        </is>
      </c>
      <c r="S55">
        <f>HYPERLINK("https://klasma.github.io/Logging_2421/artfynd/A 11586-2022 artfynd.xlsx", "A 11586-2022")</f>
        <v/>
      </c>
      <c r="T55">
        <f>HYPERLINK("https://klasma.github.io/Logging_2421/kartor/A 11586-2022 karta.png", "A 11586-2022")</f>
        <v/>
      </c>
      <c r="U55">
        <f>HYPERLINK("https://klasma.github.io/Logging_2421/knärot/A 11586-2022 karta knärot.png", "A 11586-2022")</f>
        <v/>
      </c>
      <c r="V55">
        <f>HYPERLINK("https://klasma.github.io/Logging_2421/klagomål/A 11586-2022 FSC-klagomål.docx", "A 11586-2022")</f>
        <v/>
      </c>
      <c r="W55">
        <f>HYPERLINK("https://klasma.github.io/Logging_2421/klagomålsmail/A 11586-2022 FSC-klagomål mail.docx", "A 11586-2022")</f>
        <v/>
      </c>
      <c r="X55">
        <f>HYPERLINK("https://klasma.github.io/Logging_2421/tillsyn/A 11586-2022 tillsynsbegäran.docx", "A 11586-2022")</f>
        <v/>
      </c>
      <c r="Y55">
        <f>HYPERLINK("https://klasma.github.io/Logging_2421/tillsynsmail/A 11586-2022 tillsynsbegäran mail.docx", "A 11586-2022")</f>
        <v/>
      </c>
      <c r="Z55">
        <f>HYPERLINK("https://klasma.github.io/Logging_2421/fåglar/A 11586-2022 prioriterade fågelarter.docx", "A 11586-2022")</f>
        <v/>
      </c>
    </row>
    <row r="56" ht="15" customHeight="1">
      <c r="A56" t="inlineStr">
        <is>
          <t>A 58922-2024</t>
        </is>
      </c>
      <c r="B56" s="1" t="n">
        <v>45635</v>
      </c>
      <c r="C56" s="1" t="n">
        <v>45826</v>
      </c>
      <c r="D56" t="inlineStr">
        <is>
          <t>VÄSTERBOTTENS LÄN</t>
        </is>
      </c>
      <c r="E56" t="inlineStr">
        <is>
          <t>STORUMAN</t>
        </is>
      </c>
      <c r="F56" t="inlineStr">
        <is>
          <t>Allmännings- och besparingsskogar</t>
        </is>
      </c>
      <c r="G56" t="n">
        <v>157</v>
      </c>
      <c r="H56" t="n">
        <v>0</v>
      </c>
      <c r="I56" t="n">
        <v>0</v>
      </c>
      <c r="J56" t="n">
        <v>5</v>
      </c>
      <c r="K56" t="n">
        <v>1</v>
      </c>
      <c r="L56" t="n">
        <v>0</v>
      </c>
      <c r="M56" t="n">
        <v>0</v>
      </c>
      <c r="N56" t="n">
        <v>0</v>
      </c>
      <c r="O56" t="n">
        <v>6</v>
      </c>
      <c r="P56" t="n">
        <v>1</v>
      </c>
      <c r="Q56" t="n">
        <v>6</v>
      </c>
      <c r="R56" s="2" t="inlineStr">
        <is>
          <t>Rynkskinn
Granticka
Gränsticka
Harticka
Rosenticka
Ullticka</t>
        </is>
      </c>
      <c r="S56">
        <f>HYPERLINK("https://klasma.github.io/Logging_2421/artfynd/A 58922-2024 artfynd.xlsx", "A 58922-2024")</f>
        <v/>
      </c>
      <c r="T56">
        <f>HYPERLINK("https://klasma.github.io/Logging_2421/kartor/A 58922-2024 karta.png", "A 58922-2024")</f>
        <v/>
      </c>
      <c r="V56">
        <f>HYPERLINK("https://klasma.github.io/Logging_2421/klagomål/A 58922-2024 FSC-klagomål.docx", "A 58922-2024")</f>
        <v/>
      </c>
      <c r="W56">
        <f>HYPERLINK("https://klasma.github.io/Logging_2421/klagomålsmail/A 58922-2024 FSC-klagomål mail.docx", "A 58922-2024")</f>
        <v/>
      </c>
      <c r="X56">
        <f>HYPERLINK("https://klasma.github.io/Logging_2421/tillsyn/A 58922-2024 tillsynsbegäran.docx", "A 58922-2024")</f>
        <v/>
      </c>
      <c r="Y56">
        <f>HYPERLINK("https://klasma.github.io/Logging_2421/tillsynsmail/A 58922-2024 tillsynsbegäran mail.docx", "A 58922-2024")</f>
        <v/>
      </c>
    </row>
    <row r="57" ht="15" customHeight="1">
      <c r="A57" t="inlineStr">
        <is>
          <t>A 9217-2025</t>
        </is>
      </c>
      <c r="B57" s="1" t="n">
        <v>45714</v>
      </c>
      <c r="C57" s="1" t="n">
        <v>45826</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45826</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45826</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45826</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45826</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45826</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45826</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45826</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45826</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45826</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45826</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45826</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45826</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45826</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45826</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45826</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45826</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45826</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45826</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45826</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45826</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45826</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45826</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45826</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45826</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45826</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45826</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45826</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45826</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45826</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45826</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45826</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45826</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45826</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45826</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45826</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45826</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45826</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45826</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45826</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45826</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45826</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45826</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45826</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45826</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45826</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45826</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45826</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45826</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45826</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45826</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45826</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45826</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45826</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45826</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45826</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45826</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45826</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45826</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45826</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45826</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45826</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45826</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45826</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45826</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45826</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45826</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45826</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45826</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45826</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45826</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45826</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45826</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45826</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45826</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45826</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45826</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45826</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45826</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45826</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45826</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45826</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45826</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45826</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45826</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45826</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45826</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45826</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45826</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45826</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45826</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45826</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45826</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45826</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45826</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45826</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45826</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45826</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45826</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45826</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45826</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45826</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45826</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45826</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45826</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45826</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45826</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45826</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45826</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45826</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45826</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45826</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45826</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45826</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45826</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45826</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45826</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45826</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45826</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45826</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45826</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45826</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45826</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45826</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45826</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45826</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45826</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45826</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45826</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45826</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45826</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45826</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45826</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45826</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45826</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45826</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45826</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45826</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45826</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45826</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45826</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45826</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45826</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45826</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45826</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45826</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45826</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45826</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45826</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45826</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45826</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45826</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45826</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45826</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45826</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45826</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45826</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45826</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45826</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45826</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45826</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45826</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45826</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45826</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45826</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45826</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45826</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45826</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45826</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45826</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45826</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45826</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45826</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45826</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45826</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45826</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45826</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45826</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45826</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45826</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45826</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45826</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45826</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45826</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45826</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45826</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45826</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45826</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45826</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45826</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45826</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45826</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45826</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45826</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45826</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45826</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45826</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45826</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45826</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45826</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45826</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45826</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45826</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45826</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45826</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45826</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45826</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45826</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45826</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45826</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45826</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45826</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45826</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45826</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45826</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45826</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45826</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45826</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45826</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45826</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45826</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45826</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45826</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45826</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45826</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45826</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45826</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45826</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45826</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45826</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45826</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45826</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45826</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45826</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45826</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45826</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45826</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45826</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45826</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45826</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45826</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45826</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45826</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45826</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45826</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45826</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45826</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45826</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45826</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45826</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45826</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45826</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45826</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45826</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45826</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45826</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45826</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45826</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45826</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45826</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45826</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45826</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45826</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45826</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45826</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45826</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45826</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45826</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45826</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45826</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45826</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45826</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45826</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45826</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45826</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45826</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45826</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45826</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45826</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45826</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45826</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45826</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45826</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45826</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45826</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45826</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45826</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45826</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45826</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45826</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45826</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45826</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45826</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45826</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45826</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45826</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45826</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45826</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45826</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45826</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45826</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45826</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45826</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45826</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45826</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45826</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45826</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45826</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45826</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45826</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45826</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45826</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45826</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45826</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45826</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45826</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45826</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45826</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45826</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45826</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45826</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45826</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45826</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45826</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45826</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45826</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45826</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45826</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45826</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45826</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45826</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45826</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45826</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45826</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45826</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45826</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45826</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45826</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45826</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45826</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45826</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45826</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45826</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45826</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45826</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45826</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45826</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45826</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45826</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45826</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45826</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45826</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45826</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45826</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45826</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45826</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45826</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45826</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45826</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45826</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45826</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45826</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45826</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45826</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45826</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45826</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45826</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45826</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45826</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45826</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45826</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45826</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45826</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45826</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45826</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45826</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45826</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45826</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45826</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45826</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45826</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45826</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45826</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45826</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45826</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45826</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45826</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45826</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45826</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45826</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45826</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45826</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45826</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45826</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45826</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45826</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45826</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45826</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45826</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45826</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45826</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45826</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45826</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45826</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45826</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45826</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45826</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45826</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45826</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45826</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45826</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45826</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45826</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45826</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45826</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45826</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45826</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45826</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45826</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45826</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45826</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45826</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45826</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45826</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45826</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45826</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45826</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45826</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45826</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45826</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45826</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45826</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45826</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45826</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45826</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45826</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45826</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45826</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45826</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45826</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45826</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45826</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45826</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45826</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45826</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45826</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45826</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45826</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45826</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45826</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45826</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45826</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45826</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45826</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45826</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45826</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45826</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45826</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45826</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45826</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45826</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45826</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45826</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45826</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45826</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45826</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45826</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45826</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45826</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45826</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45826</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45826</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45826</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45826</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45826</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45826</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45826</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45826</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45826</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45826</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45826</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45826</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45826</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45826</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45826</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45826</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45826</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45826</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45826</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45826</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45826</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45826</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45826</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45826</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45826</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45826</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45826</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45826</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45826</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45826</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45826</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45826</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45826</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45826</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45826</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45826</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45826</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45826</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45826</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45826</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45826</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45826</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45826</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45826</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45826</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45826</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45826</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45826</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45826</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45826</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45826</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45826</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45826</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45826</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45826</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45826</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45826</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45826</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45826</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45826</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45826</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45826</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45826</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45826</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45826</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45826</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45826</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45826</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45826</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45826</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45826</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45826</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45826</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45826</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45826</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45826</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45826</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45826</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45826</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45826</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45826</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45826</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45826</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45826</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45826</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45826</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45826</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45826</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45826</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45826</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45826</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45826</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45826</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45826</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45826</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45826</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45826</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45826</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45826</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45826</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45826</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45826</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45826</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45826</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45826</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45826</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45826</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45826</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45826</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45826</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45826</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45826</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45826</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45826</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45826</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45826</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45826</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45826</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45826</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45826</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45826</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45826</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45826</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45826</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45826</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45826</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45826</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45826</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45826</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45826</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45826</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26718-2025</t>
        </is>
      </c>
      <c r="B658" s="1" t="n">
        <v>45810</v>
      </c>
      <c r="C658" s="1" t="n">
        <v>45826</v>
      </c>
      <c r="D658" t="inlineStr">
        <is>
          <t>VÄSTERBOTTENS LÄN</t>
        </is>
      </c>
      <c r="E658" t="inlineStr">
        <is>
          <t>STORUMAN</t>
        </is>
      </c>
      <c r="F658" t="inlineStr">
        <is>
          <t>Sveaskog</t>
        </is>
      </c>
      <c r="G658" t="n">
        <v>6.9</v>
      </c>
      <c r="H658" t="n">
        <v>0</v>
      </c>
      <c r="I658" t="n">
        <v>0</v>
      </c>
      <c r="J658" t="n">
        <v>0</v>
      </c>
      <c r="K658" t="n">
        <v>0</v>
      </c>
      <c r="L658" t="n">
        <v>0</v>
      </c>
      <c r="M658" t="n">
        <v>0</v>
      </c>
      <c r="N658" t="n">
        <v>0</v>
      </c>
      <c r="O658" t="n">
        <v>0</v>
      </c>
      <c r="P658" t="n">
        <v>0</v>
      </c>
      <c r="Q658" t="n">
        <v>0</v>
      </c>
      <c r="R658" s="2" t="inlineStr"/>
    </row>
    <row r="659" ht="15" customHeight="1">
      <c r="A659" t="inlineStr">
        <is>
          <t>A 26764-2025</t>
        </is>
      </c>
      <c r="B659" s="1" t="n">
        <v>45810</v>
      </c>
      <c r="C659" s="1" t="n">
        <v>45826</v>
      </c>
      <c r="D659" t="inlineStr">
        <is>
          <t>VÄSTERBOTTENS LÄN</t>
        </is>
      </c>
      <c r="E659" t="inlineStr">
        <is>
          <t>STORUMAN</t>
        </is>
      </c>
      <c r="F659" t="inlineStr">
        <is>
          <t>Sveaskog</t>
        </is>
      </c>
      <c r="G659" t="n">
        <v>12.6</v>
      </c>
      <c r="H659" t="n">
        <v>0</v>
      </c>
      <c r="I659" t="n">
        <v>0</v>
      </c>
      <c r="J659" t="n">
        <v>0</v>
      </c>
      <c r="K659" t="n">
        <v>0</v>
      </c>
      <c r="L659" t="n">
        <v>0</v>
      </c>
      <c r="M659" t="n">
        <v>0</v>
      </c>
      <c r="N659" t="n">
        <v>0</v>
      </c>
      <c r="O659" t="n">
        <v>0</v>
      </c>
      <c r="P659" t="n">
        <v>0</v>
      </c>
      <c r="Q659" t="n">
        <v>0</v>
      </c>
      <c r="R659" s="2" t="inlineStr"/>
    </row>
    <row r="660" ht="15" customHeight="1">
      <c r="A660" t="inlineStr">
        <is>
          <t>A 26768-2025</t>
        </is>
      </c>
      <c r="B660" s="1" t="n">
        <v>45810</v>
      </c>
      <c r="C660" s="1" t="n">
        <v>45826</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26729-2025</t>
        </is>
      </c>
      <c r="B661" s="1" t="n">
        <v>45810</v>
      </c>
      <c r="C661" s="1" t="n">
        <v>45826</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row r="662">
      <c r="A662" t="inlineStr">
        <is>
          <t>A 29801-2025</t>
        </is>
      </c>
      <c r="B662" s="1" t="n">
        <v>45825</v>
      </c>
      <c r="C662" s="1" t="n">
        <v>45826</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2025-06-18T18:54:00Z</dcterms:created>
  <dcterms:modified xmlns:dcterms="http://purl.org/dc/terms/" xmlns:xsi="http://www.w3.org/2001/XMLSchema-instance" xsi:type="dcterms:W3CDTF">2025-06-18T18:54:00Z</dcterms:modified>
</cp:coreProperties>
</file>