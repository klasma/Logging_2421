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v>
      </c>
      <c r="C2" s="1" t="n">
        <v>46195</v>
      </c>
      <c r="D2" t="inlineStr">
        <is>
          <t>VÄSTERBOTTENS LÄN</t>
        </is>
      </c>
      <c r="E2" t="inlineStr">
        <is>
          <t>STORUMAN</t>
        </is>
      </c>
      <c r="G2" t="n">
        <v>20.7</v>
      </c>
      <c r="H2" t="n">
        <v>11</v>
      </c>
      <c r="I2" t="n">
        <v>7</v>
      </c>
      <c r="J2" t="n">
        <v>28</v>
      </c>
      <c r="K2" t="n">
        <v>8</v>
      </c>
      <c r="L2" t="n">
        <v>1</v>
      </c>
      <c r="M2" t="n">
        <v>0</v>
      </c>
      <c r="N2" t="n">
        <v>0</v>
      </c>
      <c r="O2" t="n">
        <v>37</v>
      </c>
      <c r="P2" t="n">
        <v>9</v>
      </c>
      <c r="Q2" t="n">
        <v>49</v>
      </c>
      <c r="R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45899-2025</t>
        </is>
      </c>
      <c r="B3" s="1" t="n">
        <v>45923</v>
      </c>
      <c r="C3" s="1" t="n">
        <v>46195</v>
      </c>
      <c r="D3" t="inlineStr">
        <is>
          <t>VÄSTERBOTTENS LÄN</t>
        </is>
      </c>
      <c r="E3" t="inlineStr">
        <is>
          <t>STORUMAN</t>
        </is>
      </c>
      <c r="G3" t="n">
        <v>67.40000000000001</v>
      </c>
      <c r="H3" t="n">
        <v>9</v>
      </c>
      <c r="I3" t="n">
        <v>11</v>
      </c>
      <c r="J3" t="n">
        <v>26</v>
      </c>
      <c r="K3" t="n">
        <v>8</v>
      </c>
      <c r="L3" t="n">
        <v>0</v>
      </c>
      <c r="M3" t="n">
        <v>0</v>
      </c>
      <c r="N3" t="n">
        <v>0</v>
      </c>
      <c r="O3" t="n">
        <v>34</v>
      </c>
      <c r="P3" t="n">
        <v>8</v>
      </c>
      <c r="Q3" t="n">
        <v>49</v>
      </c>
      <c r="R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50208-2023</t>
        </is>
      </c>
      <c r="B4" s="1" t="n">
        <v>45215</v>
      </c>
      <c r="C4" s="1" t="n">
        <v>46195</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46195</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46195</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46195</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46195</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46195</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46195</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46195</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46195</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46195</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46195</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46195</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46195</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46195</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46195</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46195</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46195</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46195</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15343-2023</t>
        </is>
      </c>
      <c r="B22" s="1" t="n">
        <v>45016</v>
      </c>
      <c r="C22" s="1" t="n">
        <v>46195</v>
      </c>
      <c r="D22" t="inlineStr">
        <is>
          <t>VÄSTERBOTTENS LÄN</t>
        </is>
      </c>
      <c r="E22" t="inlineStr">
        <is>
          <t>STORUMAN</t>
        </is>
      </c>
      <c r="G22" t="n">
        <v>11.7</v>
      </c>
      <c r="H22" t="n">
        <v>4</v>
      </c>
      <c r="I22" t="n">
        <v>3</v>
      </c>
      <c r="J22" t="n">
        <v>5</v>
      </c>
      <c r="K22" t="n">
        <v>1</v>
      </c>
      <c r="L22" t="n">
        <v>0</v>
      </c>
      <c r="M22" t="n">
        <v>0</v>
      </c>
      <c r="N22" t="n">
        <v>0</v>
      </c>
      <c r="O22" t="n">
        <v>6</v>
      </c>
      <c r="P22" t="n">
        <v>1</v>
      </c>
      <c r="Q22" t="n">
        <v>10</v>
      </c>
      <c r="R22" s="2" t="inlineStr">
        <is>
          <t>Garnlav
Harticka
Lavskrika
Talltita
Tretåig hackspett
Vitgrynig nållav
Björksplintborre
Bronshjon
Svavelriska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3370-2022</t>
        </is>
      </c>
      <c r="B23" s="1" t="n">
        <v>44585</v>
      </c>
      <c r="C23" s="1" t="n">
        <v>46195</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37960-2025</t>
        </is>
      </c>
      <c r="B24" s="1" t="n">
        <v>45881</v>
      </c>
      <c r="C24" s="1" t="n">
        <v>46195</v>
      </c>
      <c r="D24" t="inlineStr">
        <is>
          <t>VÄSTERBOTTENS LÄN</t>
        </is>
      </c>
      <c r="E24" t="inlineStr">
        <is>
          <t>STORUMAN</t>
        </is>
      </c>
      <c r="G24" t="n">
        <v>15.7</v>
      </c>
      <c r="H24" t="n">
        <v>1</v>
      </c>
      <c r="I24" t="n">
        <v>3</v>
      </c>
      <c r="J24" t="n">
        <v>7</v>
      </c>
      <c r="K24" t="n">
        <v>0</v>
      </c>
      <c r="L24" t="n">
        <v>0</v>
      </c>
      <c r="M24" t="n">
        <v>0</v>
      </c>
      <c r="N24" t="n">
        <v>0</v>
      </c>
      <c r="O24" t="n">
        <v>7</v>
      </c>
      <c r="P24" t="n">
        <v>0</v>
      </c>
      <c r="Q24" t="n">
        <v>10</v>
      </c>
      <c r="R24" s="2" t="inlineStr">
        <is>
          <t>Gammelgransskål
Harticka
Kötticka
Lavskrika
Rödbrun blekspik
Skrovellav
Ullticka
Luddlav
Mörk husmossa
Skinnlav</t>
        </is>
      </c>
      <c r="S24">
        <f>HYPERLINK("https://klasma.github.io/Logging_2421/artfynd/A 37960-2025 artfynd.xlsx", "A 37960-2025")</f>
        <v/>
      </c>
      <c r="T24">
        <f>HYPERLINK("https://klasma.github.io/Logging_2421/kartor/A 37960-2025 karta.png", "A 37960-2025")</f>
        <v/>
      </c>
      <c r="V24">
        <f>HYPERLINK("https://klasma.github.io/Logging_2421/klagomål/A 37960-2025 FSC-klagomål.docx", "A 37960-2025")</f>
        <v/>
      </c>
      <c r="W24">
        <f>HYPERLINK("https://klasma.github.io/Logging_2421/klagomålsmail/A 37960-2025 FSC-klagomål mail.docx", "A 37960-2025")</f>
        <v/>
      </c>
      <c r="X24">
        <f>HYPERLINK("https://klasma.github.io/Logging_2421/tillsyn/A 37960-2025 tillsynsbegäran.docx", "A 37960-2025")</f>
        <v/>
      </c>
      <c r="Y24">
        <f>HYPERLINK("https://klasma.github.io/Logging_2421/tillsynsmail/A 37960-2025 tillsynsbegäran mail.docx", "A 37960-2025")</f>
        <v/>
      </c>
      <c r="Z24">
        <f>HYPERLINK("https://klasma.github.io/Logging_2421/fåglar/A 37960-2025 prioriterade fågelarter.docx", "A 37960-2025")</f>
        <v/>
      </c>
    </row>
    <row r="25" ht="15" customHeight="1">
      <c r="A25" t="inlineStr">
        <is>
          <t>A 55886-2023</t>
        </is>
      </c>
      <c r="B25" s="1" t="n">
        <v>45233</v>
      </c>
      <c r="C25" s="1" t="n">
        <v>46195</v>
      </c>
      <c r="D25" t="inlineStr">
        <is>
          <t>VÄSTERBOTTENS LÄN</t>
        </is>
      </c>
      <c r="E25" t="inlineStr">
        <is>
          <t>STORUMAN</t>
        </is>
      </c>
      <c r="G25" t="n">
        <v>40.9</v>
      </c>
      <c r="H25" t="n">
        <v>2</v>
      </c>
      <c r="I25" t="n">
        <v>5</v>
      </c>
      <c r="J25" t="n">
        <v>3</v>
      </c>
      <c r="K25" t="n">
        <v>2</v>
      </c>
      <c r="L25" t="n">
        <v>0</v>
      </c>
      <c r="M25" t="n">
        <v>0</v>
      </c>
      <c r="N25" t="n">
        <v>0</v>
      </c>
      <c r="O25" t="n">
        <v>5</v>
      </c>
      <c r="P25" t="n">
        <v>2</v>
      </c>
      <c r="Q25" t="n">
        <v>10</v>
      </c>
      <c r="R25" s="2" t="inlineStr">
        <is>
          <t>Doftticka
Garnlav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12330-2023</t>
        </is>
      </c>
      <c r="B26" s="1" t="n">
        <v>44995</v>
      </c>
      <c r="C26" s="1" t="n">
        <v>46195</v>
      </c>
      <c r="D26" t="inlineStr">
        <is>
          <t>VÄSTERBOTTENS LÄN</t>
        </is>
      </c>
      <c r="E26" t="inlineStr">
        <is>
          <t>STORUMAN</t>
        </is>
      </c>
      <c r="F26" t="inlineStr">
        <is>
          <t>Allmännings- och besparingsskogar</t>
        </is>
      </c>
      <c r="G26" t="n">
        <v>248.7</v>
      </c>
      <c r="H26" t="n">
        <v>0</v>
      </c>
      <c r="I26" t="n">
        <v>1</v>
      </c>
      <c r="J26" t="n">
        <v>6</v>
      </c>
      <c r="K26" t="n">
        <v>2</v>
      </c>
      <c r="L26" t="n">
        <v>0</v>
      </c>
      <c r="M26" t="n">
        <v>0</v>
      </c>
      <c r="N26" t="n">
        <v>0</v>
      </c>
      <c r="O26" t="n">
        <v>8</v>
      </c>
      <c r="P26" t="n">
        <v>2</v>
      </c>
      <c r="Q26" t="n">
        <v>9</v>
      </c>
      <c r="R26" s="2" t="inlineStr">
        <is>
          <t>Garnlav
Gränsticka
Gammelgransskål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72173-2021</t>
        </is>
      </c>
      <c r="B27" s="1" t="n">
        <v>44543</v>
      </c>
      <c r="C27" s="1" t="n">
        <v>46195</v>
      </c>
      <c r="D27" t="inlineStr">
        <is>
          <t>VÄSTERBOTTENS LÄN</t>
        </is>
      </c>
      <c r="E27" t="inlineStr">
        <is>
          <t>STORUMAN</t>
        </is>
      </c>
      <c r="G27" t="n">
        <v>22.9</v>
      </c>
      <c r="H27" t="n">
        <v>2</v>
      </c>
      <c r="I27" t="n">
        <v>4</v>
      </c>
      <c r="J27" t="n">
        <v>3</v>
      </c>
      <c r="K27" t="n">
        <v>1</v>
      </c>
      <c r="L27" t="n">
        <v>0</v>
      </c>
      <c r="M27" t="n">
        <v>0</v>
      </c>
      <c r="N27" t="n">
        <v>0</v>
      </c>
      <c r="O27" t="n">
        <v>4</v>
      </c>
      <c r="P27" t="n">
        <v>1</v>
      </c>
      <c r="Q27" t="n">
        <v>9</v>
      </c>
      <c r="R27" s="2" t="inlineStr">
        <is>
          <t>Garnlav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28001-2023</t>
        </is>
      </c>
      <c r="B28" s="1" t="n">
        <v>45098</v>
      </c>
      <c r="C28" s="1" t="n">
        <v>46195</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46195</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33857-2024</t>
        </is>
      </c>
      <c r="B30" s="1" t="n">
        <v>45520</v>
      </c>
      <c r="C30" s="1" t="n">
        <v>46195</v>
      </c>
      <c r="D30" t="inlineStr">
        <is>
          <t>VÄSTERBOTTENS LÄN</t>
        </is>
      </c>
      <c r="E30" t="inlineStr">
        <is>
          <t>STORUMAN</t>
        </is>
      </c>
      <c r="F30" t="inlineStr">
        <is>
          <t>Sveaskog</t>
        </is>
      </c>
      <c r="G30" t="n">
        <v>7.9</v>
      </c>
      <c r="H30" t="n">
        <v>2</v>
      </c>
      <c r="I30" t="n">
        <v>2</v>
      </c>
      <c r="J30" t="n">
        <v>3</v>
      </c>
      <c r="K30" t="n">
        <v>1</v>
      </c>
      <c r="L30" t="n">
        <v>0</v>
      </c>
      <c r="M30" t="n">
        <v>0</v>
      </c>
      <c r="N30" t="n">
        <v>0</v>
      </c>
      <c r="O30" t="n">
        <v>4</v>
      </c>
      <c r="P30" t="n">
        <v>1</v>
      </c>
      <c r="Q30" t="n">
        <v>7</v>
      </c>
      <c r="R30" s="2" t="inlineStr">
        <is>
          <t>Garnlav
Kolflarnlav
Mörk kolflarnlav
Talltita
Grönpyrola
Skinnlav
Järpe</t>
        </is>
      </c>
      <c r="S30">
        <f>HYPERLINK("https://klasma.github.io/Logging_2421/artfynd/A 33857-2024 artfynd.xlsx", "A 33857-2024")</f>
        <v/>
      </c>
      <c r="T30">
        <f>HYPERLINK("https://klasma.github.io/Logging_2421/kartor/A 33857-2024 karta.png", "A 33857-2024")</f>
        <v/>
      </c>
      <c r="V30">
        <f>HYPERLINK("https://klasma.github.io/Logging_2421/klagomål/A 33857-2024 FSC-klagomål.docx", "A 33857-2024")</f>
        <v/>
      </c>
      <c r="W30">
        <f>HYPERLINK("https://klasma.github.io/Logging_2421/klagomålsmail/A 33857-2024 FSC-klagomål mail.docx", "A 33857-2024")</f>
        <v/>
      </c>
      <c r="X30">
        <f>HYPERLINK("https://klasma.github.io/Logging_2421/tillsyn/A 33857-2024 tillsynsbegäran.docx", "A 33857-2024")</f>
        <v/>
      </c>
      <c r="Y30">
        <f>HYPERLINK("https://klasma.github.io/Logging_2421/tillsynsmail/A 33857-2024 tillsynsbegäran mail.docx", "A 33857-2024")</f>
        <v/>
      </c>
      <c r="Z30">
        <f>HYPERLINK("https://klasma.github.io/Logging_2421/fåglar/A 33857-2024 prioriterade fågelarter.docx", "A 33857-2024")</f>
        <v/>
      </c>
    </row>
    <row r="31" ht="15" customHeight="1">
      <c r="A31" t="inlineStr">
        <is>
          <t>A 56412-2025</t>
        </is>
      </c>
      <c r="B31" s="1" t="n">
        <v>45975</v>
      </c>
      <c r="C31" s="1" t="n">
        <v>46195</v>
      </c>
      <c r="D31" t="inlineStr">
        <is>
          <t>VÄSTERBOTTENS LÄN</t>
        </is>
      </c>
      <c r="E31" t="inlineStr">
        <is>
          <t>STORUMAN</t>
        </is>
      </c>
      <c r="G31" t="n">
        <v>8.4</v>
      </c>
      <c r="H31" t="n">
        <v>2</v>
      </c>
      <c r="I31" t="n">
        <v>3</v>
      </c>
      <c r="J31" t="n">
        <v>3</v>
      </c>
      <c r="K31" t="n">
        <v>0</v>
      </c>
      <c r="L31" t="n">
        <v>0</v>
      </c>
      <c r="M31" t="n">
        <v>0</v>
      </c>
      <c r="N31" t="n">
        <v>0</v>
      </c>
      <c r="O31" t="n">
        <v>3</v>
      </c>
      <c r="P31" t="n">
        <v>0</v>
      </c>
      <c r="Q31" t="n">
        <v>7</v>
      </c>
      <c r="R31" s="2" t="inlineStr">
        <is>
          <t>Lunglav
Skrovellav
Tretåig hackspett
Bårdlav
Luddlav
Stuplav
Kungsfågel</t>
        </is>
      </c>
      <c r="S31">
        <f>HYPERLINK("https://klasma.github.io/Logging_2421/artfynd/A 56412-2025 artfynd.xlsx", "A 56412-2025")</f>
        <v/>
      </c>
      <c r="T31">
        <f>HYPERLINK("https://klasma.github.io/Logging_2421/kartor/A 56412-2025 karta.png", "A 56412-2025")</f>
        <v/>
      </c>
      <c r="V31">
        <f>HYPERLINK("https://klasma.github.io/Logging_2421/klagomål/A 56412-2025 FSC-klagomål.docx", "A 56412-2025")</f>
        <v/>
      </c>
      <c r="W31">
        <f>HYPERLINK("https://klasma.github.io/Logging_2421/klagomålsmail/A 56412-2025 FSC-klagomål mail.docx", "A 56412-2025")</f>
        <v/>
      </c>
      <c r="X31">
        <f>HYPERLINK("https://klasma.github.io/Logging_2421/tillsyn/A 56412-2025 tillsynsbegäran.docx", "A 56412-2025")</f>
        <v/>
      </c>
      <c r="Y31">
        <f>HYPERLINK("https://klasma.github.io/Logging_2421/tillsynsmail/A 56412-2025 tillsynsbegäran mail.docx", "A 56412-2025")</f>
        <v/>
      </c>
      <c r="Z31">
        <f>HYPERLINK("https://klasma.github.io/Logging_2421/fåglar/A 56412-2025 prioriterade fågelarter.docx", "A 56412-2025")</f>
        <v/>
      </c>
    </row>
    <row r="32" ht="15" customHeight="1">
      <c r="A32" t="inlineStr">
        <is>
          <t>A 57233-2025</t>
        </is>
      </c>
      <c r="B32" s="1" t="n">
        <v>45979</v>
      </c>
      <c r="C32" s="1" t="n">
        <v>46195</v>
      </c>
      <c r="D32" t="inlineStr">
        <is>
          <t>VÄSTERBOTTENS LÄN</t>
        </is>
      </c>
      <c r="E32" t="inlineStr">
        <is>
          <t>STORUMAN</t>
        </is>
      </c>
      <c r="F32" t="inlineStr">
        <is>
          <t>Sveaskog</t>
        </is>
      </c>
      <c r="G32" t="n">
        <v>15.3</v>
      </c>
      <c r="H32" t="n">
        <v>3</v>
      </c>
      <c r="I32" t="n">
        <v>1</v>
      </c>
      <c r="J32" t="n">
        <v>4</v>
      </c>
      <c r="K32" t="n">
        <v>1</v>
      </c>
      <c r="L32" t="n">
        <v>0</v>
      </c>
      <c r="M32" t="n">
        <v>0</v>
      </c>
      <c r="N32" t="n">
        <v>0</v>
      </c>
      <c r="O32" t="n">
        <v>5</v>
      </c>
      <c r="P32" t="n">
        <v>1</v>
      </c>
      <c r="Q32" t="n">
        <v>7</v>
      </c>
      <c r="R32" s="2" t="inlineStr">
        <is>
          <t>Garnlav
Lavskrika
Rosenticka
Varglav
Vedflamlav
Stuplav
Vanlig padda</t>
        </is>
      </c>
      <c r="S32">
        <f>HYPERLINK("https://klasma.github.io/Logging_2421/artfynd/A 57233-2025 artfynd.xlsx", "A 57233-2025")</f>
        <v/>
      </c>
      <c r="T32">
        <f>HYPERLINK("https://klasma.github.io/Logging_2421/kartor/A 57233-2025 karta.png", "A 57233-2025")</f>
        <v/>
      </c>
      <c r="V32">
        <f>HYPERLINK("https://klasma.github.io/Logging_2421/klagomål/A 57233-2025 FSC-klagomål.docx", "A 57233-2025")</f>
        <v/>
      </c>
      <c r="W32">
        <f>HYPERLINK("https://klasma.github.io/Logging_2421/klagomålsmail/A 57233-2025 FSC-klagomål mail.docx", "A 57233-2025")</f>
        <v/>
      </c>
      <c r="X32">
        <f>HYPERLINK("https://klasma.github.io/Logging_2421/tillsyn/A 57233-2025 tillsynsbegäran.docx", "A 57233-2025")</f>
        <v/>
      </c>
      <c r="Y32">
        <f>HYPERLINK("https://klasma.github.io/Logging_2421/tillsynsmail/A 57233-2025 tillsynsbegäran mail.docx", "A 57233-2025")</f>
        <v/>
      </c>
      <c r="Z32">
        <f>HYPERLINK("https://klasma.github.io/Logging_2421/fåglar/A 57233-2025 prioriterade fågelarter.docx", "A 57233-2025")</f>
        <v/>
      </c>
    </row>
    <row r="33" ht="15" customHeight="1">
      <c r="A33" t="inlineStr">
        <is>
          <t>A 42835-2021</t>
        </is>
      </c>
      <c r="B33" s="1" t="n">
        <v>44430</v>
      </c>
      <c r="C33" s="1" t="n">
        <v>46195</v>
      </c>
      <c r="D33" t="inlineStr">
        <is>
          <t>VÄSTERBOTTENS LÄN</t>
        </is>
      </c>
      <c r="E33" t="inlineStr">
        <is>
          <t>STORUMAN</t>
        </is>
      </c>
      <c r="F33" t="inlineStr">
        <is>
          <t>Övriga statliga verk och myndigheter</t>
        </is>
      </c>
      <c r="G33" t="n">
        <v>27.1</v>
      </c>
      <c r="H33" t="n">
        <v>2</v>
      </c>
      <c r="I33" t="n">
        <v>4</v>
      </c>
      <c r="J33" t="n">
        <v>2</v>
      </c>
      <c r="K33" t="n">
        <v>1</v>
      </c>
      <c r="L33" t="n">
        <v>0</v>
      </c>
      <c r="M33" t="n">
        <v>0</v>
      </c>
      <c r="N33" t="n">
        <v>0</v>
      </c>
      <c r="O33" t="n">
        <v>3</v>
      </c>
      <c r="P33" t="n">
        <v>1</v>
      </c>
      <c r="Q33" t="n">
        <v>7</v>
      </c>
      <c r="R33" s="2" t="inlineStr">
        <is>
          <t>Garnlav
Harticka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3358-2022</t>
        </is>
      </c>
      <c r="B34" s="1" t="n">
        <v>44585</v>
      </c>
      <c r="C34" s="1" t="n">
        <v>46195</v>
      </c>
      <c r="D34" t="inlineStr">
        <is>
          <t>VÄSTERBOTTENS LÄN</t>
        </is>
      </c>
      <c r="E34" t="inlineStr">
        <is>
          <t>STORUMAN</t>
        </is>
      </c>
      <c r="G34" t="n">
        <v>1.8</v>
      </c>
      <c r="H34" t="n">
        <v>3</v>
      </c>
      <c r="I34" t="n">
        <v>1</v>
      </c>
      <c r="J34" t="n">
        <v>4</v>
      </c>
      <c r="K34" t="n">
        <v>1</v>
      </c>
      <c r="L34" t="n">
        <v>0</v>
      </c>
      <c r="M34" t="n">
        <v>0</v>
      </c>
      <c r="N34" t="n">
        <v>0</v>
      </c>
      <c r="O34" t="n">
        <v>5</v>
      </c>
      <c r="P34" t="n">
        <v>1</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3412-2022</t>
        </is>
      </c>
      <c r="B35" s="1" t="n">
        <v>44585</v>
      </c>
      <c r="C35" s="1" t="n">
        <v>46195</v>
      </c>
      <c r="D35" t="inlineStr">
        <is>
          <t>VÄSTERBOTTENS LÄN</t>
        </is>
      </c>
      <c r="E35" t="inlineStr">
        <is>
          <t>STORUMAN</t>
        </is>
      </c>
      <c r="G35" t="n">
        <v>0.7</v>
      </c>
      <c r="H35" t="n">
        <v>3</v>
      </c>
      <c r="I35" t="n">
        <v>2</v>
      </c>
      <c r="J35" t="n">
        <v>3</v>
      </c>
      <c r="K35" t="n">
        <v>1</v>
      </c>
      <c r="L35" t="n">
        <v>0</v>
      </c>
      <c r="M35" t="n">
        <v>0</v>
      </c>
      <c r="N35" t="n">
        <v>0</v>
      </c>
      <c r="O35" t="n">
        <v>4</v>
      </c>
      <c r="P35" t="n">
        <v>1</v>
      </c>
      <c r="Q35" t="n">
        <v>7</v>
      </c>
      <c r="R35" s="2" t="inlineStr">
        <is>
          <t>Garnlav
Rosenticka
Talltita
Ullticka
Finbräken
Spindelblomster
Skogsrör</t>
        </is>
      </c>
      <c r="S35">
        <f>HYPERLINK("https://klasma.github.io/Logging_2421/artfynd/A 3412-2022 artfynd.xlsx", "A 3412-2022")</f>
        <v/>
      </c>
      <c r="T35">
        <f>HYPERLINK("https://klasma.github.io/Logging_2421/kartor/A 3412-2022 karta.png", "A 3412-2022")</f>
        <v/>
      </c>
      <c r="V35">
        <f>HYPERLINK("https://klasma.github.io/Logging_2421/klagomål/A 3412-2022 FSC-klagomål.docx", "A 3412-2022")</f>
        <v/>
      </c>
      <c r="W35">
        <f>HYPERLINK("https://klasma.github.io/Logging_2421/klagomålsmail/A 3412-2022 FSC-klagomål mail.docx", "A 3412-2022")</f>
        <v/>
      </c>
      <c r="X35">
        <f>HYPERLINK("https://klasma.github.io/Logging_2421/tillsyn/A 3412-2022 tillsynsbegäran.docx", "A 3412-2022")</f>
        <v/>
      </c>
      <c r="Y35">
        <f>HYPERLINK("https://klasma.github.io/Logging_2421/tillsynsmail/A 3412-2022 tillsynsbegäran mail.docx", "A 3412-2022")</f>
        <v/>
      </c>
      <c r="Z35">
        <f>HYPERLINK("https://klasma.github.io/Logging_2421/fåglar/A 3412-2022 prioriterade fågelarter.docx", "A 3412-2022")</f>
        <v/>
      </c>
    </row>
    <row r="36" ht="15" customHeight="1">
      <c r="A36" t="inlineStr">
        <is>
          <t>A 36587-2025</t>
        </is>
      </c>
      <c r="B36" s="1" t="n">
        <v>45870</v>
      </c>
      <c r="C36" s="1" t="n">
        <v>46195</v>
      </c>
      <c r="D36" t="inlineStr">
        <is>
          <t>VÄSTERBOTTENS LÄN</t>
        </is>
      </c>
      <c r="E36" t="inlineStr">
        <is>
          <t>STORUMAN</t>
        </is>
      </c>
      <c r="G36" t="n">
        <v>13.7</v>
      </c>
      <c r="H36" t="n">
        <v>1</v>
      </c>
      <c r="I36" t="n">
        <v>2</v>
      </c>
      <c r="J36" t="n">
        <v>3</v>
      </c>
      <c r="K36" t="n">
        <v>2</v>
      </c>
      <c r="L36" t="n">
        <v>0</v>
      </c>
      <c r="M36" t="n">
        <v>0</v>
      </c>
      <c r="N36" t="n">
        <v>0</v>
      </c>
      <c r="O36" t="n">
        <v>5</v>
      </c>
      <c r="P36" t="n">
        <v>2</v>
      </c>
      <c r="Q36" t="n">
        <v>7</v>
      </c>
      <c r="R36" s="2" t="inlineStr">
        <is>
          <t>Skrovlig taggsvamp
Smalfotad taggsvamp
Dropptaggsvamp
Tretåig hackspett
Älg
Bårdlav
Luddlav</t>
        </is>
      </c>
      <c r="S36">
        <f>HYPERLINK("https://klasma.github.io/Logging_2421/artfynd/A 36587-2025 artfynd.xlsx", "A 36587-2025")</f>
        <v/>
      </c>
      <c r="T36">
        <f>HYPERLINK("https://klasma.github.io/Logging_2421/kartor/A 36587-2025 karta.png", "A 36587-2025")</f>
        <v/>
      </c>
      <c r="V36">
        <f>HYPERLINK("https://klasma.github.io/Logging_2421/klagomål/A 36587-2025 FSC-klagomål.docx", "A 36587-2025")</f>
        <v/>
      </c>
      <c r="W36">
        <f>HYPERLINK("https://klasma.github.io/Logging_2421/klagomålsmail/A 36587-2025 FSC-klagomål mail.docx", "A 36587-2025")</f>
        <v/>
      </c>
      <c r="X36">
        <f>HYPERLINK("https://klasma.github.io/Logging_2421/tillsyn/A 36587-2025 tillsynsbegäran.docx", "A 36587-2025")</f>
        <v/>
      </c>
      <c r="Y36">
        <f>HYPERLINK("https://klasma.github.io/Logging_2421/tillsynsmail/A 36587-2025 tillsynsbegäran mail.docx", "A 36587-2025")</f>
        <v/>
      </c>
      <c r="Z36">
        <f>HYPERLINK("https://klasma.github.io/Logging_2421/fåglar/A 36587-2025 prioriterade fågelarter.docx", "A 36587-2025")</f>
        <v/>
      </c>
    </row>
    <row r="37" ht="15" customHeight="1">
      <c r="A37" t="inlineStr">
        <is>
          <t>A 21423-2024</t>
        </is>
      </c>
      <c r="B37" s="1" t="n">
        <v>45441</v>
      </c>
      <c r="C37" s="1" t="n">
        <v>46195</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46195</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46195</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46195</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27558-2024</t>
        </is>
      </c>
      <c r="B41" s="1" t="n">
        <v>45474</v>
      </c>
      <c r="C41" s="1" t="n">
        <v>46195</v>
      </c>
      <c r="D41" t="inlineStr">
        <is>
          <t>VÄSTERBOTTENS LÄN</t>
        </is>
      </c>
      <c r="E41" t="inlineStr">
        <is>
          <t>STORUMAN</t>
        </is>
      </c>
      <c r="F41" t="inlineStr">
        <is>
          <t>Sveaskog</t>
        </is>
      </c>
      <c r="G41" t="n">
        <v>5.7</v>
      </c>
      <c r="H41" t="n">
        <v>2</v>
      </c>
      <c r="I41" t="n">
        <v>0</v>
      </c>
      <c r="J41" t="n">
        <v>2</v>
      </c>
      <c r="K41" t="n">
        <v>1</v>
      </c>
      <c r="L41" t="n">
        <v>0</v>
      </c>
      <c r="M41" t="n">
        <v>0</v>
      </c>
      <c r="N41" t="n">
        <v>0</v>
      </c>
      <c r="O41" t="n">
        <v>3</v>
      </c>
      <c r="P41" t="n">
        <v>1</v>
      </c>
      <c r="Q41" t="n">
        <v>5</v>
      </c>
      <c r="R41" s="2" t="inlineStr">
        <is>
          <t>Garnlav
Kolflarnlav
Mörk kolflarnlav
Järpe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39275-2022</t>
        </is>
      </c>
      <c r="B42" s="1" t="n">
        <v>44817</v>
      </c>
      <c r="C42" s="1" t="n">
        <v>46195</v>
      </c>
      <c r="D42" t="inlineStr">
        <is>
          <t>VÄSTERBOTTENS LÄN</t>
        </is>
      </c>
      <c r="E42" t="inlineStr">
        <is>
          <t>STORUMAN</t>
        </is>
      </c>
      <c r="F42" t="inlineStr">
        <is>
          <t>Sveaskog</t>
        </is>
      </c>
      <c r="G42" t="n">
        <v>1.3</v>
      </c>
      <c r="H42" t="n">
        <v>1</v>
      </c>
      <c r="I42" t="n">
        <v>0</v>
      </c>
      <c r="J42" t="n">
        <v>5</v>
      </c>
      <c r="K42" t="n">
        <v>0</v>
      </c>
      <c r="L42" t="n">
        <v>0</v>
      </c>
      <c r="M42" t="n">
        <v>0</v>
      </c>
      <c r="N42" t="n">
        <v>0</v>
      </c>
      <c r="O42" t="n">
        <v>5</v>
      </c>
      <c r="P42" t="n">
        <v>0</v>
      </c>
      <c r="Q42" t="n">
        <v>5</v>
      </c>
      <c r="R42" s="2" t="inlineStr">
        <is>
          <t>Blå taggsvamp
Dropptaggsvamp
Orange taggsvamp
Sotvaxskivling
Tretåig hackspett</t>
        </is>
      </c>
      <c r="S42">
        <f>HYPERLINK("https://klasma.github.io/Logging_2421/artfynd/A 39275-2022 artfynd.xlsx", "A 39275-2022")</f>
        <v/>
      </c>
      <c r="T42">
        <f>HYPERLINK("https://klasma.github.io/Logging_2421/kartor/A 39275-2022 karta.png", "A 39275-2022")</f>
        <v/>
      </c>
      <c r="V42">
        <f>HYPERLINK("https://klasma.github.io/Logging_2421/klagomål/A 39275-2022 FSC-klagomål.docx", "A 39275-2022")</f>
        <v/>
      </c>
      <c r="W42">
        <f>HYPERLINK("https://klasma.github.io/Logging_2421/klagomålsmail/A 39275-2022 FSC-klagomål mail.docx", "A 39275-2022")</f>
        <v/>
      </c>
      <c r="X42">
        <f>HYPERLINK("https://klasma.github.io/Logging_2421/tillsyn/A 39275-2022 tillsynsbegäran.docx", "A 39275-2022")</f>
        <v/>
      </c>
      <c r="Y42">
        <f>HYPERLINK("https://klasma.github.io/Logging_2421/tillsynsmail/A 39275-2022 tillsynsbegäran mail.docx", "A 39275-2022")</f>
        <v/>
      </c>
      <c r="Z42">
        <f>HYPERLINK("https://klasma.github.io/Logging_2421/fåglar/A 39275-2022 prioriterade fågelarter.docx", "A 39275-2022")</f>
        <v/>
      </c>
    </row>
    <row r="43" ht="15" customHeight="1">
      <c r="A43" t="inlineStr">
        <is>
          <t>A 20701-2023</t>
        </is>
      </c>
      <c r="B43" s="1" t="n">
        <v>45055</v>
      </c>
      <c r="C43" s="1" t="n">
        <v>46195</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40939-2021</t>
        </is>
      </c>
      <c r="B44" s="1" t="n">
        <v>44421</v>
      </c>
      <c r="C44" s="1" t="n">
        <v>46195</v>
      </c>
      <c r="D44" t="inlineStr">
        <is>
          <t>VÄSTERBOTTENS LÄN</t>
        </is>
      </c>
      <c r="E44" t="inlineStr">
        <is>
          <t>STORUMAN</t>
        </is>
      </c>
      <c r="G44" t="n">
        <v>4.8</v>
      </c>
      <c r="H44" t="n">
        <v>1</v>
      </c>
      <c r="I44" t="n">
        <v>1</v>
      </c>
      <c r="J44" t="n">
        <v>2</v>
      </c>
      <c r="K44" t="n">
        <v>1</v>
      </c>
      <c r="L44" t="n">
        <v>0</v>
      </c>
      <c r="M44" t="n">
        <v>0</v>
      </c>
      <c r="N44" t="n">
        <v>0</v>
      </c>
      <c r="O44" t="n">
        <v>3</v>
      </c>
      <c r="P44" t="n">
        <v>1</v>
      </c>
      <c r="Q44" t="n">
        <v>4</v>
      </c>
      <c r="R44" s="2" t="inlineStr">
        <is>
          <t>Knärot
Lunglav
Skrovellav
Bollvitmossa</t>
        </is>
      </c>
      <c r="S44">
        <f>HYPERLINK("https://klasma.github.io/Logging_2421/artfynd/A 40939-2021 artfynd.xlsx", "A 40939-2021")</f>
        <v/>
      </c>
      <c r="T44">
        <f>HYPERLINK("https://klasma.github.io/Logging_2421/kartor/A 40939-2021 karta.png", "A 40939-2021")</f>
        <v/>
      </c>
      <c r="U44">
        <f>HYPERLINK("https://klasma.github.io/Logging_2421/knärot/A 40939-2021 karta knärot.png", "A 40939-2021")</f>
        <v/>
      </c>
      <c r="V44">
        <f>HYPERLINK("https://klasma.github.io/Logging_2421/klagomål/A 40939-2021 FSC-klagomål.docx", "A 40939-2021")</f>
        <v/>
      </c>
      <c r="W44">
        <f>HYPERLINK("https://klasma.github.io/Logging_2421/klagomålsmail/A 40939-2021 FSC-klagomål mail.docx", "A 40939-2021")</f>
        <v/>
      </c>
      <c r="X44">
        <f>HYPERLINK("https://klasma.github.io/Logging_2421/tillsyn/A 40939-2021 tillsynsbegäran.docx", "A 40939-2021")</f>
        <v/>
      </c>
      <c r="Y44">
        <f>HYPERLINK("https://klasma.github.io/Logging_2421/tillsynsmail/A 40939-2021 tillsynsbegäran mail.docx", "A 40939-2021")</f>
        <v/>
      </c>
    </row>
    <row r="45" ht="15" customHeight="1">
      <c r="A45" t="inlineStr">
        <is>
          <t>A 60880-2023</t>
        </is>
      </c>
      <c r="B45" s="1" t="n">
        <v>45259</v>
      </c>
      <c r="C45" s="1" t="n">
        <v>46195</v>
      </c>
      <c r="D45" t="inlineStr">
        <is>
          <t>VÄSTERBOTTENS LÄN</t>
        </is>
      </c>
      <c r="E45" t="inlineStr">
        <is>
          <t>STORUMAN</t>
        </is>
      </c>
      <c r="G45" t="n">
        <v>2.2</v>
      </c>
      <c r="H45" t="n">
        <v>4</v>
      </c>
      <c r="I45" t="n">
        <v>0</v>
      </c>
      <c r="J45" t="n">
        <v>2</v>
      </c>
      <c r="K45" t="n">
        <v>1</v>
      </c>
      <c r="L45" t="n">
        <v>0</v>
      </c>
      <c r="M45" t="n">
        <v>0</v>
      </c>
      <c r="N45" t="n">
        <v>0</v>
      </c>
      <c r="O45" t="n">
        <v>3</v>
      </c>
      <c r="P45" t="n">
        <v>1</v>
      </c>
      <c r="Q45" t="n">
        <v>4</v>
      </c>
      <c r="R45" s="2" t="inlineStr">
        <is>
          <t>Knärot
Talltita
Tretåig hackspett
Spillkråka</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44074-2023</t>
        </is>
      </c>
      <c r="B46" s="1" t="n">
        <v>45188</v>
      </c>
      <c r="C46" s="1" t="n">
        <v>46195</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39237-2022</t>
        </is>
      </c>
      <c r="B47" s="1" t="n">
        <v>44817</v>
      </c>
      <c r="C47" s="1" t="n">
        <v>46195</v>
      </c>
      <c r="D47" t="inlineStr">
        <is>
          <t>VÄSTERBOTTENS LÄN</t>
        </is>
      </c>
      <c r="E47" t="inlineStr">
        <is>
          <t>STORUMAN</t>
        </is>
      </c>
      <c r="F47" t="inlineStr">
        <is>
          <t>Sveaskog</t>
        </is>
      </c>
      <c r="G47" t="n">
        <v>1.1</v>
      </c>
      <c r="H47" t="n">
        <v>1</v>
      </c>
      <c r="I47" t="n">
        <v>0</v>
      </c>
      <c r="J47" t="n">
        <v>3</v>
      </c>
      <c r="K47" t="n">
        <v>0</v>
      </c>
      <c r="L47" t="n">
        <v>0</v>
      </c>
      <c r="M47" t="n">
        <v>0</v>
      </c>
      <c r="N47" t="n">
        <v>0</v>
      </c>
      <c r="O47" t="n">
        <v>3</v>
      </c>
      <c r="P47" t="n">
        <v>0</v>
      </c>
      <c r="Q47" t="n">
        <v>3</v>
      </c>
      <c r="R47" s="2" t="inlineStr">
        <is>
          <t>Dropptaggsvamp
Lavskrika
Skarp dropptaggsvamp</t>
        </is>
      </c>
      <c r="S47">
        <f>HYPERLINK("https://klasma.github.io/Logging_2421/artfynd/A 39237-2022 artfynd.xlsx", "A 39237-2022")</f>
        <v/>
      </c>
      <c r="T47">
        <f>HYPERLINK("https://klasma.github.io/Logging_2421/kartor/A 39237-2022 karta.png", "A 39237-2022")</f>
        <v/>
      </c>
      <c r="V47">
        <f>HYPERLINK("https://klasma.github.io/Logging_2421/klagomål/A 39237-2022 FSC-klagomål.docx", "A 39237-2022")</f>
        <v/>
      </c>
      <c r="W47">
        <f>HYPERLINK("https://klasma.github.io/Logging_2421/klagomålsmail/A 39237-2022 FSC-klagomål mail.docx", "A 39237-2022")</f>
        <v/>
      </c>
      <c r="X47">
        <f>HYPERLINK("https://klasma.github.io/Logging_2421/tillsyn/A 39237-2022 tillsynsbegäran.docx", "A 39237-2022")</f>
        <v/>
      </c>
      <c r="Y47">
        <f>HYPERLINK("https://klasma.github.io/Logging_2421/tillsynsmail/A 39237-2022 tillsynsbegäran mail.docx", "A 39237-2022")</f>
        <v/>
      </c>
      <c r="Z47">
        <f>HYPERLINK("https://klasma.github.io/Logging_2421/fåglar/A 39237-2022 prioriterade fågelarter.docx", "A 39237-2022")</f>
        <v/>
      </c>
    </row>
    <row r="48" ht="15" customHeight="1">
      <c r="A48" t="inlineStr">
        <is>
          <t>A 40652-2021</t>
        </is>
      </c>
      <c r="B48" s="1" t="n">
        <v>44420</v>
      </c>
      <c r="C48" s="1" t="n">
        <v>46195</v>
      </c>
      <c r="D48" t="inlineStr">
        <is>
          <t>VÄSTERBOTTENS LÄN</t>
        </is>
      </c>
      <c r="E48" t="inlineStr">
        <is>
          <t>STORUMAN</t>
        </is>
      </c>
      <c r="G48" t="n">
        <v>10</v>
      </c>
      <c r="H48" t="n">
        <v>3</v>
      </c>
      <c r="I48" t="n">
        <v>0</v>
      </c>
      <c r="J48" t="n">
        <v>2</v>
      </c>
      <c r="K48" t="n">
        <v>1</v>
      </c>
      <c r="L48" t="n">
        <v>0</v>
      </c>
      <c r="M48" t="n">
        <v>0</v>
      </c>
      <c r="N48" t="n">
        <v>0</v>
      </c>
      <c r="O48" t="n">
        <v>3</v>
      </c>
      <c r="P48" t="n">
        <v>1</v>
      </c>
      <c r="Q48" t="n">
        <v>3</v>
      </c>
      <c r="R48" s="2" t="inlineStr">
        <is>
          <t>Knärot
Lavskrika
Tretåig hackspett</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60656-2024</t>
        </is>
      </c>
      <c r="B49" s="1" t="n">
        <v>45642</v>
      </c>
      <c r="C49" s="1" t="n">
        <v>46195</v>
      </c>
      <c r="D49" t="inlineStr">
        <is>
          <t>VÄSTERBOTTENS LÄN</t>
        </is>
      </c>
      <c r="E49" t="inlineStr">
        <is>
          <t>STORUMAN</t>
        </is>
      </c>
      <c r="G49" t="n">
        <v>5.5</v>
      </c>
      <c r="H49" t="n">
        <v>2</v>
      </c>
      <c r="I49" t="n">
        <v>1</v>
      </c>
      <c r="J49" t="n">
        <v>0</v>
      </c>
      <c r="K49" t="n">
        <v>0</v>
      </c>
      <c r="L49" t="n">
        <v>0</v>
      </c>
      <c r="M49" t="n">
        <v>0</v>
      </c>
      <c r="N49" t="n">
        <v>0</v>
      </c>
      <c r="O49" t="n">
        <v>0</v>
      </c>
      <c r="P49" t="n">
        <v>0</v>
      </c>
      <c r="Q49" t="n">
        <v>3</v>
      </c>
      <c r="R49" s="2" t="inlineStr">
        <is>
          <t>Norrlandslav
Järpe
Tallbit</t>
        </is>
      </c>
      <c r="S49">
        <f>HYPERLINK("https://klasma.github.io/Logging_2421/artfynd/A 60656-2024 artfynd.xlsx", "A 60656-2024")</f>
        <v/>
      </c>
      <c r="T49">
        <f>HYPERLINK("https://klasma.github.io/Logging_2421/kartor/A 60656-2024 karta.png", "A 60656-2024")</f>
        <v/>
      </c>
      <c r="V49">
        <f>HYPERLINK("https://klasma.github.io/Logging_2421/klagomål/A 60656-2024 FSC-klagomål.docx", "A 60656-2024")</f>
        <v/>
      </c>
      <c r="W49">
        <f>HYPERLINK("https://klasma.github.io/Logging_2421/klagomålsmail/A 60656-2024 FSC-klagomål mail.docx", "A 60656-2024")</f>
        <v/>
      </c>
      <c r="X49">
        <f>HYPERLINK("https://klasma.github.io/Logging_2421/tillsyn/A 60656-2024 tillsynsbegäran.docx", "A 60656-2024")</f>
        <v/>
      </c>
      <c r="Y49">
        <f>HYPERLINK("https://klasma.github.io/Logging_2421/tillsynsmail/A 60656-2024 tillsynsbegäran mail.docx", "A 60656-2024")</f>
        <v/>
      </c>
      <c r="Z49">
        <f>HYPERLINK("https://klasma.github.io/Logging_2421/fåglar/A 60656-2024 prioriterade fågelarter.docx", "A 60656-2024")</f>
        <v/>
      </c>
    </row>
    <row r="50" ht="15" customHeight="1">
      <c r="A50" t="inlineStr">
        <is>
          <t>A 3046-2022</t>
        </is>
      </c>
      <c r="B50" s="1" t="n">
        <v>44581</v>
      </c>
      <c r="C50" s="1" t="n">
        <v>46195</v>
      </c>
      <c r="D50" t="inlineStr">
        <is>
          <t>VÄSTERBOTTENS LÄN</t>
        </is>
      </c>
      <c r="E50" t="inlineStr">
        <is>
          <t>STORUMAN</t>
        </is>
      </c>
      <c r="G50" t="n">
        <v>23.9</v>
      </c>
      <c r="H50" t="n">
        <v>1</v>
      </c>
      <c r="I50" t="n">
        <v>1</v>
      </c>
      <c r="J50" t="n">
        <v>1</v>
      </c>
      <c r="K50" t="n">
        <v>1</v>
      </c>
      <c r="L50" t="n">
        <v>0</v>
      </c>
      <c r="M50" t="n">
        <v>0</v>
      </c>
      <c r="N50" t="n">
        <v>0</v>
      </c>
      <c r="O50" t="n">
        <v>2</v>
      </c>
      <c r="P50" t="n">
        <v>1</v>
      </c>
      <c r="Q50" t="n">
        <v>3</v>
      </c>
      <c r="R50" s="2" t="inlineStr">
        <is>
          <t>Garnlav
Talltagel
Plattlummer</t>
        </is>
      </c>
      <c r="S50">
        <f>HYPERLINK("https://klasma.github.io/Logging_2421/artfynd/A 3046-2022 artfynd.xlsx", "A 3046-2022")</f>
        <v/>
      </c>
      <c r="T50">
        <f>HYPERLINK("https://klasma.github.io/Logging_2421/kartor/A 3046-2022 karta.png", "A 3046-2022")</f>
        <v/>
      </c>
      <c r="V50">
        <f>HYPERLINK("https://klasma.github.io/Logging_2421/klagomål/A 3046-2022 FSC-klagomål.docx", "A 3046-2022")</f>
        <v/>
      </c>
      <c r="W50">
        <f>HYPERLINK("https://klasma.github.io/Logging_2421/klagomålsmail/A 3046-2022 FSC-klagomål mail.docx", "A 3046-2022")</f>
        <v/>
      </c>
      <c r="X50">
        <f>HYPERLINK("https://klasma.github.io/Logging_2421/tillsyn/A 3046-2022 tillsynsbegäran.docx", "A 3046-2022")</f>
        <v/>
      </c>
      <c r="Y50">
        <f>HYPERLINK("https://klasma.github.io/Logging_2421/tillsynsmail/A 3046-2022 tillsynsbegäran mail.docx", "A 3046-2022")</f>
        <v/>
      </c>
    </row>
    <row r="51" ht="15" customHeight="1">
      <c r="A51" t="inlineStr">
        <is>
          <t>A 4962-2025</t>
        </is>
      </c>
      <c r="B51" s="1" t="n">
        <v>45690</v>
      </c>
      <c r="C51" s="1" t="n">
        <v>46195</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11190-2025</t>
        </is>
      </c>
      <c r="B52" s="1" t="n">
        <v>45725</v>
      </c>
      <c r="C52" s="1" t="n">
        <v>46195</v>
      </c>
      <c r="D52" t="inlineStr">
        <is>
          <t>VÄSTERBOTTENS LÄN</t>
        </is>
      </c>
      <c r="E52" t="inlineStr">
        <is>
          <t>STORUMAN</t>
        </is>
      </c>
      <c r="G52" t="n">
        <v>31.8</v>
      </c>
      <c r="H52" t="n">
        <v>0</v>
      </c>
      <c r="I52" t="n">
        <v>0</v>
      </c>
      <c r="J52" t="n">
        <v>2</v>
      </c>
      <c r="K52" t="n">
        <v>1</v>
      </c>
      <c r="L52" t="n">
        <v>0</v>
      </c>
      <c r="M52" t="n">
        <v>0</v>
      </c>
      <c r="N52" t="n">
        <v>0</v>
      </c>
      <c r="O52" t="n">
        <v>3</v>
      </c>
      <c r="P52" t="n">
        <v>1</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23853-2025</t>
        </is>
      </c>
      <c r="B53" s="1" t="n">
        <v>45793</v>
      </c>
      <c r="C53" s="1" t="n">
        <v>46195</v>
      </c>
      <c r="D53" t="inlineStr">
        <is>
          <t>VÄSTERBOTTENS LÄN</t>
        </is>
      </c>
      <c r="E53" t="inlineStr">
        <is>
          <t>STORUMAN</t>
        </is>
      </c>
      <c r="G53" t="n">
        <v>4.2</v>
      </c>
      <c r="H53" t="n">
        <v>1</v>
      </c>
      <c r="I53" t="n">
        <v>2</v>
      </c>
      <c r="J53" t="n">
        <v>0</v>
      </c>
      <c r="K53" t="n">
        <v>0</v>
      </c>
      <c r="L53" t="n">
        <v>0</v>
      </c>
      <c r="M53" t="n">
        <v>0</v>
      </c>
      <c r="N53" t="n">
        <v>0</v>
      </c>
      <c r="O53" t="n">
        <v>0</v>
      </c>
      <c r="P53" t="n">
        <v>0</v>
      </c>
      <c r="Q53" t="n">
        <v>3</v>
      </c>
      <c r="R53" s="2" t="inlineStr">
        <is>
          <t>Stuplav
Tibast
Spillkråka</t>
        </is>
      </c>
      <c r="S53">
        <f>HYPERLINK("https://klasma.github.io/Logging_2421/artfynd/A 23853-2025 artfynd.xlsx", "A 23853-2025")</f>
        <v/>
      </c>
      <c r="T53">
        <f>HYPERLINK("https://klasma.github.io/Logging_2421/kartor/A 23853-2025 karta.png", "A 23853-2025")</f>
        <v/>
      </c>
      <c r="V53">
        <f>HYPERLINK("https://klasma.github.io/Logging_2421/klagomål/A 23853-2025 FSC-klagomål.docx", "A 23853-2025")</f>
        <v/>
      </c>
      <c r="W53">
        <f>HYPERLINK("https://klasma.github.io/Logging_2421/klagomålsmail/A 23853-2025 FSC-klagomål mail.docx", "A 23853-2025")</f>
        <v/>
      </c>
      <c r="X53">
        <f>HYPERLINK("https://klasma.github.io/Logging_2421/tillsyn/A 23853-2025 tillsynsbegäran.docx", "A 23853-2025")</f>
        <v/>
      </c>
      <c r="Y53">
        <f>HYPERLINK("https://klasma.github.io/Logging_2421/tillsynsmail/A 23853-2025 tillsynsbegäran mail.docx", "A 23853-2025")</f>
        <v/>
      </c>
      <c r="Z53">
        <f>HYPERLINK("https://klasma.github.io/Logging_2421/fåglar/A 23853-2025 prioriterade fågelarter.docx", "A 23853-2025")</f>
        <v/>
      </c>
    </row>
    <row r="54" ht="15" customHeight="1">
      <c r="A54" t="inlineStr">
        <is>
          <t>A 35641-2025</t>
        </is>
      </c>
      <c r="B54" s="1" t="n">
        <v>45859</v>
      </c>
      <c r="C54" s="1" t="n">
        <v>46195</v>
      </c>
      <c r="D54" t="inlineStr">
        <is>
          <t>VÄSTERBOTTENS LÄN</t>
        </is>
      </c>
      <c r="E54" t="inlineStr">
        <is>
          <t>STORUMAN</t>
        </is>
      </c>
      <c r="G54" t="n">
        <v>23.7</v>
      </c>
      <c r="H54" t="n">
        <v>1</v>
      </c>
      <c r="I54" t="n">
        <v>0</v>
      </c>
      <c r="J54" t="n">
        <v>3</v>
      </c>
      <c r="K54" t="n">
        <v>0</v>
      </c>
      <c r="L54" t="n">
        <v>0</v>
      </c>
      <c r="M54" t="n">
        <v>0</v>
      </c>
      <c r="N54" t="n">
        <v>0</v>
      </c>
      <c r="O54" t="n">
        <v>3</v>
      </c>
      <c r="P54" t="n">
        <v>0</v>
      </c>
      <c r="Q54" t="n">
        <v>3</v>
      </c>
      <c r="R54" s="2" t="inlineStr">
        <is>
          <t>Rosenticka
Tretåig hackspett
Ullticka</t>
        </is>
      </c>
      <c r="S54">
        <f>HYPERLINK("https://klasma.github.io/Logging_2421/artfynd/A 35641-2025 artfynd.xlsx", "A 35641-2025")</f>
        <v/>
      </c>
      <c r="T54">
        <f>HYPERLINK("https://klasma.github.io/Logging_2421/kartor/A 35641-2025 karta.png", "A 35641-2025")</f>
        <v/>
      </c>
      <c r="V54">
        <f>HYPERLINK("https://klasma.github.io/Logging_2421/klagomål/A 35641-2025 FSC-klagomål.docx", "A 35641-2025")</f>
        <v/>
      </c>
      <c r="W54">
        <f>HYPERLINK("https://klasma.github.io/Logging_2421/klagomålsmail/A 35641-2025 FSC-klagomål mail.docx", "A 35641-2025")</f>
        <v/>
      </c>
      <c r="X54">
        <f>HYPERLINK("https://klasma.github.io/Logging_2421/tillsyn/A 35641-2025 tillsynsbegäran.docx", "A 35641-2025")</f>
        <v/>
      </c>
      <c r="Y54">
        <f>HYPERLINK("https://klasma.github.io/Logging_2421/tillsynsmail/A 35641-2025 tillsynsbegäran mail.docx", "A 35641-2025")</f>
        <v/>
      </c>
      <c r="Z54">
        <f>HYPERLINK("https://klasma.github.io/Logging_2421/fåglar/A 35641-2025 prioriterade fågelarter.docx", "A 35641-2025")</f>
        <v/>
      </c>
    </row>
    <row r="55" ht="15" customHeight="1">
      <c r="A55" t="inlineStr">
        <is>
          <t>A 51706-2024</t>
        </is>
      </c>
      <c r="B55" s="1" t="n">
        <v>45604</v>
      </c>
      <c r="C55" s="1" t="n">
        <v>46195</v>
      </c>
      <c r="D55" t="inlineStr">
        <is>
          <t>VÄSTERBOTTENS LÄN</t>
        </is>
      </c>
      <c r="E55" t="inlineStr">
        <is>
          <t>STORUMAN</t>
        </is>
      </c>
      <c r="F55" t="inlineStr">
        <is>
          <t>Allmännings- och besparingsskogar</t>
        </is>
      </c>
      <c r="G55" t="n">
        <v>164.7</v>
      </c>
      <c r="H55" t="n">
        <v>1</v>
      </c>
      <c r="I55" t="n">
        <v>0</v>
      </c>
      <c r="J55" t="n">
        <v>2</v>
      </c>
      <c r="K55" t="n">
        <v>1</v>
      </c>
      <c r="L55" t="n">
        <v>0</v>
      </c>
      <c r="M55" t="n">
        <v>0</v>
      </c>
      <c r="N55" t="n">
        <v>0</v>
      </c>
      <c r="O55" t="n">
        <v>3</v>
      </c>
      <c r="P55" t="n">
        <v>1</v>
      </c>
      <c r="Q55" t="n">
        <v>3</v>
      </c>
      <c r="R55" s="2" t="inlineStr">
        <is>
          <t>Garnlav
Brunpudrad nållav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20434-2022</t>
        </is>
      </c>
      <c r="B56" s="1" t="n">
        <v>44699</v>
      </c>
      <c r="C56" s="1" t="n">
        <v>46195</v>
      </c>
      <c r="D56" t="inlineStr">
        <is>
          <t>VÄSTERBOTTENS LÄN</t>
        </is>
      </c>
      <c r="E56" t="inlineStr">
        <is>
          <t>STORUMAN</t>
        </is>
      </c>
      <c r="G56" t="n">
        <v>3.4</v>
      </c>
      <c r="H56" t="n">
        <v>2</v>
      </c>
      <c r="I56" t="n">
        <v>0</v>
      </c>
      <c r="J56" t="n">
        <v>0</v>
      </c>
      <c r="K56" t="n">
        <v>1</v>
      </c>
      <c r="L56" t="n">
        <v>0</v>
      </c>
      <c r="M56" t="n">
        <v>0</v>
      </c>
      <c r="N56" t="n">
        <v>0</v>
      </c>
      <c r="O56" t="n">
        <v>1</v>
      </c>
      <c r="P56" t="n">
        <v>1</v>
      </c>
      <c r="Q56" t="n">
        <v>2</v>
      </c>
      <c r="R56" s="2" t="inlineStr">
        <is>
          <t>Knärot
Spillkråka</t>
        </is>
      </c>
      <c r="S56">
        <f>HYPERLINK("https://klasma.github.io/Logging_2421/artfynd/A 20434-2022 artfynd.xlsx", "A 20434-2022")</f>
        <v/>
      </c>
      <c r="T56">
        <f>HYPERLINK("https://klasma.github.io/Logging_2421/kartor/A 20434-2022 karta.png", "A 20434-2022")</f>
        <v/>
      </c>
      <c r="U56">
        <f>HYPERLINK("https://klasma.github.io/Logging_2421/knärot/A 20434-2022 karta knärot.png", "A 20434-2022")</f>
        <v/>
      </c>
      <c r="V56">
        <f>HYPERLINK("https://klasma.github.io/Logging_2421/klagomål/A 20434-2022 FSC-klagomål.docx", "A 20434-2022")</f>
        <v/>
      </c>
      <c r="W56">
        <f>HYPERLINK("https://klasma.github.io/Logging_2421/klagomålsmail/A 20434-2022 FSC-klagomål mail.docx", "A 20434-2022")</f>
        <v/>
      </c>
      <c r="X56">
        <f>HYPERLINK("https://klasma.github.io/Logging_2421/tillsyn/A 20434-2022 tillsynsbegäran.docx", "A 20434-2022")</f>
        <v/>
      </c>
      <c r="Y56">
        <f>HYPERLINK("https://klasma.github.io/Logging_2421/tillsynsmail/A 20434-2022 tillsynsbegäran mail.docx", "A 20434-2022")</f>
        <v/>
      </c>
      <c r="Z56">
        <f>HYPERLINK("https://klasma.github.io/Logging_2421/fåglar/A 20434-2022 prioriterade fågelarter.docx", "A 20434-2022")</f>
        <v/>
      </c>
    </row>
    <row r="57" ht="15" customHeight="1">
      <c r="A57" t="inlineStr">
        <is>
          <t>A 21663-2024</t>
        </is>
      </c>
      <c r="B57" s="1" t="n">
        <v>45442</v>
      </c>
      <c r="C57" s="1" t="n">
        <v>46195</v>
      </c>
      <c r="D57" t="inlineStr">
        <is>
          <t>VÄSTERBOTTENS LÄN</t>
        </is>
      </c>
      <c r="E57" t="inlineStr">
        <is>
          <t>STORUMAN</t>
        </is>
      </c>
      <c r="F57" t="inlineStr">
        <is>
          <t>Holmen skog AB</t>
        </is>
      </c>
      <c r="G57" t="n">
        <v>4.7</v>
      </c>
      <c r="H57" t="n">
        <v>2</v>
      </c>
      <c r="I57" t="n">
        <v>0</v>
      </c>
      <c r="J57" t="n">
        <v>1</v>
      </c>
      <c r="K57" t="n">
        <v>1</v>
      </c>
      <c r="L57" t="n">
        <v>0</v>
      </c>
      <c r="M57" t="n">
        <v>0</v>
      </c>
      <c r="N57" t="n">
        <v>0</v>
      </c>
      <c r="O57" t="n">
        <v>2</v>
      </c>
      <c r="P57" t="n">
        <v>1</v>
      </c>
      <c r="Q57" t="n">
        <v>2</v>
      </c>
      <c r="R57" s="2" t="inlineStr">
        <is>
          <t>Knärot
Tretåig hackspett</t>
        </is>
      </c>
      <c r="S57">
        <f>HYPERLINK("https://klasma.github.io/Logging_2421/artfynd/A 21663-2024 artfynd.xlsx", "A 21663-2024")</f>
        <v/>
      </c>
      <c r="T57">
        <f>HYPERLINK("https://klasma.github.io/Logging_2421/kartor/A 21663-2024 karta.png", "A 21663-2024")</f>
        <v/>
      </c>
      <c r="U57">
        <f>HYPERLINK("https://klasma.github.io/Logging_2421/knärot/A 21663-2024 karta knärot.png", "A 21663-2024")</f>
        <v/>
      </c>
      <c r="V57">
        <f>HYPERLINK("https://klasma.github.io/Logging_2421/klagomål/A 21663-2024 FSC-klagomål.docx", "A 21663-2024")</f>
        <v/>
      </c>
      <c r="W57">
        <f>HYPERLINK("https://klasma.github.io/Logging_2421/klagomålsmail/A 21663-2024 FSC-klagomål mail.docx", "A 21663-2024")</f>
        <v/>
      </c>
      <c r="X57">
        <f>HYPERLINK("https://klasma.github.io/Logging_2421/tillsyn/A 21663-2024 tillsynsbegäran.docx", "A 21663-2024")</f>
        <v/>
      </c>
      <c r="Y57">
        <f>HYPERLINK("https://klasma.github.io/Logging_2421/tillsynsmail/A 21663-2024 tillsynsbegäran mail.docx", "A 21663-2024")</f>
        <v/>
      </c>
      <c r="Z57">
        <f>HYPERLINK("https://klasma.github.io/Logging_2421/fåglar/A 21663-2024 prioriterade fågelarter.docx", "A 21663-2024")</f>
        <v/>
      </c>
    </row>
    <row r="58" ht="15" customHeight="1">
      <c r="A58" t="inlineStr">
        <is>
          <t>A 29572-2023</t>
        </is>
      </c>
      <c r="B58" s="1" t="n">
        <v>45106</v>
      </c>
      <c r="C58" s="1" t="n">
        <v>46195</v>
      </c>
      <c r="D58" t="inlineStr">
        <is>
          <t>VÄSTERBOTTENS LÄN</t>
        </is>
      </c>
      <c r="E58" t="inlineStr">
        <is>
          <t>STORUMAN</t>
        </is>
      </c>
      <c r="F58" t="inlineStr">
        <is>
          <t>Sveaskog</t>
        </is>
      </c>
      <c r="G58" t="n">
        <v>5.3</v>
      </c>
      <c r="H58" t="n">
        <v>1</v>
      </c>
      <c r="I58" t="n">
        <v>1</v>
      </c>
      <c r="J58" t="n">
        <v>0</v>
      </c>
      <c r="K58" t="n">
        <v>1</v>
      </c>
      <c r="L58" t="n">
        <v>0</v>
      </c>
      <c r="M58" t="n">
        <v>0</v>
      </c>
      <c r="N58" t="n">
        <v>0</v>
      </c>
      <c r="O58" t="n">
        <v>1</v>
      </c>
      <c r="P58" t="n">
        <v>1</v>
      </c>
      <c r="Q58" t="n">
        <v>2</v>
      </c>
      <c r="R58" s="2" t="inlineStr">
        <is>
          <t>Skrovlig taggsvamp
Spindelblomster</t>
        </is>
      </c>
      <c r="S58">
        <f>HYPERLINK("https://klasma.github.io/Logging_2421/artfynd/A 29572-2023 artfynd.xlsx", "A 29572-2023")</f>
        <v/>
      </c>
      <c r="T58">
        <f>HYPERLINK("https://klasma.github.io/Logging_2421/kartor/A 29572-2023 karta.png", "A 29572-2023")</f>
        <v/>
      </c>
      <c r="V58">
        <f>HYPERLINK("https://klasma.github.io/Logging_2421/klagomål/A 29572-2023 FSC-klagomål.docx", "A 29572-2023")</f>
        <v/>
      </c>
      <c r="W58">
        <f>HYPERLINK("https://klasma.github.io/Logging_2421/klagomålsmail/A 29572-2023 FSC-klagomål mail.docx", "A 29572-2023")</f>
        <v/>
      </c>
      <c r="X58">
        <f>HYPERLINK("https://klasma.github.io/Logging_2421/tillsyn/A 29572-2023 tillsynsbegäran.docx", "A 29572-2023")</f>
        <v/>
      </c>
      <c r="Y58">
        <f>HYPERLINK("https://klasma.github.io/Logging_2421/tillsynsmail/A 29572-2023 tillsynsbegäran mail.docx", "A 29572-2023")</f>
        <v/>
      </c>
    </row>
    <row r="59" ht="15" customHeight="1">
      <c r="A59" t="inlineStr">
        <is>
          <t>A 40520-2025</t>
        </is>
      </c>
      <c r="B59" s="1" t="n">
        <v>45896</v>
      </c>
      <c r="C59" s="1" t="n">
        <v>46195</v>
      </c>
      <c r="D59" t="inlineStr">
        <is>
          <t>VÄSTERBOTTENS LÄN</t>
        </is>
      </c>
      <c r="E59" t="inlineStr">
        <is>
          <t>STORUMAN</t>
        </is>
      </c>
      <c r="G59" t="n">
        <v>8.1</v>
      </c>
      <c r="H59" t="n">
        <v>1</v>
      </c>
      <c r="I59" t="n">
        <v>0</v>
      </c>
      <c r="J59" t="n">
        <v>1</v>
      </c>
      <c r="K59" t="n">
        <v>0</v>
      </c>
      <c r="L59" t="n">
        <v>0</v>
      </c>
      <c r="M59" t="n">
        <v>0</v>
      </c>
      <c r="N59" t="n">
        <v>0</v>
      </c>
      <c r="O59" t="n">
        <v>1</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47313-2023</t>
        </is>
      </c>
      <c r="B60" s="1" t="n">
        <v>45196</v>
      </c>
      <c r="C60" s="1" t="n">
        <v>46195</v>
      </c>
      <c r="D60" t="inlineStr">
        <is>
          <t>VÄSTERBOTTENS LÄN</t>
        </is>
      </c>
      <c r="E60" t="inlineStr">
        <is>
          <t>STORUMAN</t>
        </is>
      </c>
      <c r="F60" t="inlineStr">
        <is>
          <t>Övriga statliga verk och myndigheter</t>
        </is>
      </c>
      <c r="G60" t="n">
        <v>33</v>
      </c>
      <c r="H60" t="n">
        <v>2</v>
      </c>
      <c r="I60" t="n">
        <v>2</v>
      </c>
      <c r="J60" t="n">
        <v>0</v>
      </c>
      <c r="K60" t="n">
        <v>0</v>
      </c>
      <c r="L60" t="n">
        <v>0</v>
      </c>
      <c r="M60" t="n">
        <v>0</v>
      </c>
      <c r="N60" t="n">
        <v>0</v>
      </c>
      <c r="O60" t="n">
        <v>0</v>
      </c>
      <c r="P60" t="n">
        <v>0</v>
      </c>
      <c r="Q60" t="n">
        <v>2</v>
      </c>
      <c r="R60" s="2" t="inlineStr">
        <is>
          <t>Grönkulla
Spindelblomster</t>
        </is>
      </c>
      <c r="S60">
        <f>HYPERLINK("https://klasma.github.io/Logging_2421/artfynd/A 47313-2023 artfynd.xlsx", "A 47313-2023")</f>
        <v/>
      </c>
      <c r="T60">
        <f>HYPERLINK("https://klasma.github.io/Logging_2421/kartor/A 47313-2023 karta.png", "A 47313-2023")</f>
        <v/>
      </c>
      <c r="V60">
        <f>HYPERLINK("https://klasma.github.io/Logging_2421/klagomål/A 47313-2023 FSC-klagomål.docx", "A 47313-2023")</f>
        <v/>
      </c>
      <c r="W60">
        <f>HYPERLINK("https://klasma.github.io/Logging_2421/klagomålsmail/A 47313-2023 FSC-klagomål mail.docx", "A 47313-2023")</f>
        <v/>
      </c>
      <c r="X60">
        <f>HYPERLINK("https://klasma.github.io/Logging_2421/tillsyn/A 47313-2023 tillsynsbegäran.docx", "A 47313-2023")</f>
        <v/>
      </c>
      <c r="Y60">
        <f>HYPERLINK("https://klasma.github.io/Logging_2421/tillsynsmail/A 47313-2023 tillsynsbegäran mail.docx", "A 47313-2023")</f>
        <v/>
      </c>
    </row>
    <row r="61" ht="15" customHeight="1">
      <c r="A61" t="inlineStr">
        <is>
          <t>A 58693-2025</t>
        </is>
      </c>
      <c r="B61" s="1" t="n">
        <v>45986</v>
      </c>
      <c r="C61" s="1" t="n">
        <v>46195</v>
      </c>
      <c r="D61" t="inlineStr">
        <is>
          <t>VÄSTERBOTTENS LÄN</t>
        </is>
      </c>
      <c r="E61" t="inlineStr">
        <is>
          <t>STORUMAN</t>
        </is>
      </c>
      <c r="G61" t="n">
        <v>9.199999999999999</v>
      </c>
      <c r="H61" t="n">
        <v>1</v>
      </c>
      <c r="I61" t="n">
        <v>1</v>
      </c>
      <c r="J61" t="n">
        <v>1</v>
      </c>
      <c r="K61" t="n">
        <v>0</v>
      </c>
      <c r="L61" t="n">
        <v>0</v>
      </c>
      <c r="M61" t="n">
        <v>0</v>
      </c>
      <c r="N61" t="n">
        <v>0</v>
      </c>
      <c r="O61" t="n">
        <v>1</v>
      </c>
      <c r="P61" t="n">
        <v>0</v>
      </c>
      <c r="Q61" t="n">
        <v>2</v>
      </c>
      <c r="R61" s="2" t="inlineStr">
        <is>
          <t>Tretåig hackspett
Vedticka</t>
        </is>
      </c>
      <c r="S61">
        <f>HYPERLINK("https://klasma.github.io/Logging_2421/artfynd/A 58693-2025 artfynd.xlsx", "A 58693-2025")</f>
        <v/>
      </c>
      <c r="T61">
        <f>HYPERLINK("https://klasma.github.io/Logging_2421/kartor/A 58693-2025 karta.png", "A 58693-2025")</f>
        <v/>
      </c>
      <c r="V61">
        <f>HYPERLINK("https://klasma.github.io/Logging_2421/klagomål/A 58693-2025 FSC-klagomål.docx", "A 58693-2025")</f>
        <v/>
      </c>
      <c r="W61">
        <f>HYPERLINK("https://klasma.github.io/Logging_2421/klagomålsmail/A 58693-2025 FSC-klagomål mail.docx", "A 58693-2025")</f>
        <v/>
      </c>
      <c r="X61">
        <f>HYPERLINK("https://klasma.github.io/Logging_2421/tillsyn/A 58693-2025 tillsynsbegäran.docx", "A 58693-2025")</f>
        <v/>
      </c>
      <c r="Y61">
        <f>HYPERLINK("https://klasma.github.io/Logging_2421/tillsynsmail/A 58693-2025 tillsynsbegäran mail.docx", "A 58693-2025")</f>
        <v/>
      </c>
      <c r="Z61">
        <f>HYPERLINK("https://klasma.github.io/Logging_2421/fåglar/A 58693-2025 prioriterade fågelarter.docx", "A 58693-2025")</f>
        <v/>
      </c>
    </row>
    <row r="62" ht="15" customHeight="1">
      <c r="A62" t="inlineStr">
        <is>
          <t>A 61707-2025</t>
        </is>
      </c>
      <c r="B62" s="1" t="n">
        <v>46002</v>
      </c>
      <c r="C62" s="1" t="n">
        <v>46195</v>
      </c>
      <c r="D62" t="inlineStr">
        <is>
          <t>VÄSTERBOTTENS LÄN</t>
        </is>
      </c>
      <c r="E62" t="inlineStr">
        <is>
          <t>STORUMAN</t>
        </is>
      </c>
      <c r="F62" t="inlineStr">
        <is>
          <t>Sveaskog</t>
        </is>
      </c>
      <c r="G62" t="n">
        <v>6.1</v>
      </c>
      <c r="H62" t="n">
        <v>1</v>
      </c>
      <c r="I62" t="n">
        <v>0</v>
      </c>
      <c r="J62" t="n">
        <v>2</v>
      </c>
      <c r="K62" t="n">
        <v>0</v>
      </c>
      <c r="L62" t="n">
        <v>0</v>
      </c>
      <c r="M62" t="n">
        <v>0</v>
      </c>
      <c r="N62" t="n">
        <v>0</v>
      </c>
      <c r="O62" t="n">
        <v>2</v>
      </c>
      <c r="P62" t="n">
        <v>0</v>
      </c>
      <c r="Q62" t="n">
        <v>2</v>
      </c>
      <c r="R62" s="2" t="inlineStr">
        <is>
          <t>Lavskrika
Ullticka</t>
        </is>
      </c>
      <c r="S62">
        <f>HYPERLINK("https://klasma.github.io/Logging_2421/artfynd/A 61707-2025 artfynd.xlsx", "A 61707-2025")</f>
        <v/>
      </c>
      <c r="T62">
        <f>HYPERLINK("https://klasma.github.io/Logging_2421/kartor/A 61707-2025 karta.png", "A 61707-2025")</f>
        <v/>
      </c>
      <c r="V62">
        <f>HYPERLINK("https://klasma.github.io/Logging_2421/klagomål/A 61707-2025 FSC-klagomål.docx", "A 61707-2025")</f>
        <v/>
      </c>
      <c r="W62">
        <f>HYPERLINK("https://klasma.github.io/Logging_2421/klagomålsmail/A 61707-2025 FSC-klagomål mail.docx", "A 61707-2025")</f>
        <v/>
      </c>
      <c r="X62">
        <f>HYPERLINK("https://klasma.github.io/Logging_2421/tillsyn/A 61707-2025 tillsynsbegäran.docx", "A 61707-2025")</f>
        <v/>
      </c>
      <c r="Y62">
        <f>HYPERLINK("https://klasma.github.io/Logging_2421/tillsynsmail/A 61707-2025 tillsynsbegäran mail.docx", "A 61707-2025")</f>
        <v/>
      </c>
      <c r="Z62">
        <f>HYPERLINK("https://klasma.github.io/Logging_2421/fåglar/A 61707-2025 prioriterade fågelarter.docx", "A 61707-2025")</f>
        <v/>
      </c>
    </row>
    <row r="63" ht="15" customHeight="1">
      <c r="A63" t="inlineStr">
        <is>
          <t>A 36894-2025</t>
        </is>
      </c>
      <c r="B63" s="1" t="n">
        <v>45874</v>
      </c>
      <c r="C63" s="1" t="n">
        <v>46195</v>
      </c>
      <c r="D63" t="inlineStr">
        <is>
          <t>VÄSTERBOTTENS LÄN</t>
        </is>
      </c>
      <c r="E63" t="inlineStr">
        <is>
          <t>STORUMAN</t>
        </is>
      </c>
      <c r="G63" t="n">
        <v>12.7</v>
      </c>
      <c r="H63" t="n">
        <v>0</v>
      </c>
      <c r="I63" t="n">
        <v>0</v>
      </c>
      <c r="J63" t="n">
        <v>1</v>
      </c>
      <c r="K63" t="n">
        <v>1</v>
      </c>
      <c r="L63" t="n">
        <v>0</v>
      </c>
      <c r="M63" t="n">
        <v>0</v>
      </c>
      <c r="N63" t="n">
        <v>0</v>
      </c>
      <c r="O63" t="n">
        <v>2</v>
      </c>
      <c r="P63" t="n">
        <v>1</v>
      </c>
      <c r="Q63" t="n">
        <v>2</v>
      </c>
      <c r="R63" s="2" t="inlineStr">
        <is>
          <t>Gränsticka
Gammelgransskål</t>
        </is>
      </c>
      <c r="S63">
        <f>HYPERLINK("https://klasma.github.io/Logging_2421/artfynd/A 36894-2025 artfynd.xlsx", "A 36894-2025")</f>
        <v/>
      </c>
      <c r="T63">
        <f>HYPERLINK("https://klasma.github.io/Logging_2421/kartor/A 36894-2025 karta.png", "A 36894-2025")</f>
        <v/>
      </c>
      <c r="V63">
        <f>HYPERLINK("https://klasma.github.io/Logging_2421/klagomål/A 36894-2025 FSC-klagomål.docx", "A 36894-2025")</f>
        <v/>
      </c>
      <c r="W63">
        <f>HYPERLINK("https://klasma.github.io/Logging_2421/klagomålsmail/A 36894-2025 FSC-klagomål mail.docx", "A 36894-2025")</f>
        <v/>
      </c>
      <c r="X63">
        <f>HYPERLINK("https://klasma.github.io/Logging_2421/tillsyn/A 36894-2025 tillsynsbegäran.docx", "A 36894-2025")</f>
        <v/>
      </c>
      <c r="Y63">
        <f>HYPERLINK("https://klasma.github.io/Logging_2421/tillsynsmail/A 36894-2025 tillsynsbegäran mail.docx", "A 36894-2025")</f>
        <v/>
      </c>
    </row>
    <row r="64" ht="15" customHeight="1">
      <c r="A64" t="inlineStr">
        <is>
          <t>A 33731-2024</t>
        </is>
      </c>
      <c r="B64" s="1" t="n">
        <v>45520</v>
      </c>
      <c r="C64" s="1" t="n">
        <v>46195</v>
      </c>
      <c r="D64" t="inlineStr">
        <is>
          <t>VÄSTERBOTTENS LÄN</t>
        </is>
      </c>
      <c r="E64" t="inlineStr">
        <is>
          <t>STORUMAN</t>
        </is>
      </c>
      <c r="F64" t="inlineStr">
        <is>
          <t>Sveaskog</t>
        </is>
      </c>
      <c r="G64" t="n">
        <v>6.1</v>
      </c>
      <c r="H64" t="n">
        <v>1</v>
      </c>
      <c r="I64" t="n">
        <v>0</v>
      </c>
      <c r="J64" t="n">
        <v>2</v>
      </c>
      <c r="K64" t="n">
        <v>0</v>
      </c>
      <c r="L64" t="n">
        <v>0</v>
      </c>
      <c r="M64" t="n">
        <v>0</v>
      </c>
      <c r="N64" t="n">
        <v>0</v>
      </c>
      <c r="O64" t="n">
        <v>2</v>
      </c>
      <c r="P64" t="n">
        <v>0</v>
      </c>
      <c r="Q64" t="n">
        <v>2</v>
      </c>
      <c r="R64" s="2" t="inlineStr">
        <is>
          <t>Lavskrika
Ullticka</t>
        </is>
      </c>
      <c r="S64">
        <f>HYPERLINK("https://klasma.github.io/Logging_2421/artfynd/A 33731-2024 artfynd.xlsx", "A 33731-2024")</f>
        <v/>
      </c>
      <c r="T64">
        <f>HYPERLINK("https://klasma.github.io/Logging_2421/kartor/A 33731-2024 karta.png", "A 33731-2024")</f>
        <v/>
      </c>
      <c r="V64">
        <f>HYPERLINK("https://klasma.github.io/Logging_2421/klagomål/A 33731-2024 FSC-klagomål.docx", "A 33731-2024")</f>
        <v/>
      </c>
      <c r="W64">
        <f>HYPERLINK("https://klasma.github.io/Logging_2421/klagomålsmail/A 33731-2024 FSC-klagomål mail.docx", "A 33731-2024")</f>
        <v/>
      </c>
      <c r="X64">
        <f>HYPERLINK("https://klasma.github.io/Logging_2421/tillsyn/A 33731-2024 tillsynsbegäran.docx", "A 33731-2024")</f>
        <v/>
      </c>
      <c r="Y64">
        <f>HYPERLINK("https://klasma.github.io/Logging_2421/tillsynsmail/A 33731-2024 tillsynsbegäran mail.docx", "A 33731-2024")</f>
        <v/>
      </c>
      <c r="Z64">
        <f>HYPERLINK("https://klasma.github.io/Logging_2421/fåglar/A 33731-2024 prioriterade fågelarter.docx", "A 33731-2024")</f>
        <v/>
      </c>
    </row>
    <row r="65" ht="15" customHeight="1">
      <c r="A65" t="inlineStr">
        <is>
          <t>A 62142-2025</t>
        </is>
      </c>
      <c r="B65" s="1" t="n">
        <v>46006</v>
      </c>
      <c r="C65" s="1" t="n">
        <v>46195</v>
      </c>
      <c r="D65" t="inlineStr">
        <is>
          <t>VÄSTERBOTTENS LÄN</t>
        </is>
      </c>
      <c r="E65" t="inlineStr">
        <is>
          <t>STORUMAN</t>
        </is>
      </c>
      <c r="G65" t="n">
        <v>49</v>
      </c>
      <c r="H65" t="n">
        <v>1</v>
      </c>
      <c r="I65" t="n">
        <v>1</v>
      </c>
      <c r="J65" t="n">
        <v>1</v>
      </c>
      <c r="K65" t="n">
        <v>0</v>
      </c>
      <c r="L65" t="n">
        <v>0</v>
      </c>
      <c r="M65" t="n">
        <v>0</v>
      </c>
      <c r="N65" t="n">
        <v>0</v>
      </c>
      <c r="O65" t="n">
        <v>1</v>
      </c>
      <c r="P65" t="n">
        <v>0</v>
      </c>
      <c r="Q65" t="n">
        <v>2</v>
      </c>
      <c r="R65" s="2" t="inlineStr">
        <is>
          <t>Brunklöver
Korallrot</t>
        </is>
      </c>
      <c r="S65">
        <f>HYPERLINK("https://klasma.github.io/Logging_2421/artfynd/A 62142-2025 artfynd.xlsx", "A 62142-2025")</f>
        <v/>
      </c>
      <c r="T65">
        <f>HYPERLINK("https://klasma.github.io/Logging_2421/kartor/A 62142-2025 karta.png", "A 62142-2025")</f>
        <v/>
      </c>
      <c r="V65">
        <f>HYPERLINK("https://klasma.github.io/Logging_2421/klagomål/A 62142-2025 FSC-klagomål.docx", "A 62142-2025")</f>
        <v/>
      </c>
      <c r="W65">
        <f>HYPERLINK("https://klasma.github.io/Logging_2421/klagomålsmail/A 62142-2025 FSC-klagomål mail.docx", "A 62142-2025")</f>
        <v/>
      </c>
      <c r="X65">
        <f>HYPERLINK("https://klasma.github.io/Logging_2421/tillsyn/A 62142-2025 tillsynsbegäran.docx", "A 62142-2025")</f>
        <v/>
      </c>
      <c r="Y65">
        <f>HYPERLINK("https://klasma.github.io/Logging_2421/tillsynsmail/A 62142-2025 tillsynsbegäran mail.docx", "A 62142-2025")</f>
        <v/>
      </c>
    </row>
    <row r="66" ht="15" customHeight="1">
      <c r="A66" t="inlineStr">
        <is>
          <t>A 20192-2022</t>
        </is>
      </c>
      <c r="B66" s="1" t="n">
        <v>44698</v>
      </c>
      <c r="C66" s="1" t="n">
        <v>46195</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61846-2022</t>
        </is>
      </c>
      <c r="B67" s="1" t="n">
        <v>44917</v>
      </c>
      <c r="C67" s="1" t="n">
        <v>46195</v>
      </c>
      <c r="D67" t="inlineStr">
        <is>
          <t>VÄSTERBOTTENS LÄN</t>
        </is>
      </c>
      <c r="E67" t="inlineStr">
        <is>
          <t>STORUMAN</t>
        </is>
      </c>
      <c r="F67" t="inlineStr">
        <is>
          <t>Sveaskog</t>
        </is>
      </c>
      <c r="G67" t="n">
        <v>11.2</v>
      </c>
      <c r="H67" t="n">
        <v>1</v>
      </c>
      <c r="I67" t="n">
        <v>0</v>
      </c>
      <c r="J67" t="n">
        <v>0</v>
      </c>
      <c r="K67" t="n">
        <v>0</v>
      </c>
      <c r="L67" t="n">
        <v>0</v>
      </c>
      <c r="M67" t="n">
        <v>0</v>
      </c>
      <c r="N67" t="n">
        <v>0</v>
      </c>
      <c r="O67" t="n">
        <v>0</v>
      </c>
      <c r="P67" t="n">
        <v>0</v>
      </c>
      <c r="Q67" t="n">
        <v>1</v>
      </c>
      <c r="R67" s="2" t="inlineStr">
        <is>
          <t>Orre</t>
        </is>
      </c>
      <c r="S67">
        <f>HYPERLINK("https://klasma.github.io/Logging_2421/artfynd/A 61846-2022 artfynd.xlsx", "A 61846-2022")</f>
        <v/>
      </c>
      <c r="T67">
        <f>HYPERLINK("https://klasma.github.io/Logging_2421/kartor/A 61846-2022 karta.png", "A 61846-2022")</f>
        <v/>
      </c>
      <c r="V67">
        <f>HYPERLINK("https://klasma.github.io/Logging_2421/klagomål/A 61846-2022 FSC-klagomål.docx", "A 61846-2022")</f>
        <v/>
      </c>
      <c r="W67">
        <f>HYPERLINK("https://klasma.github.io/Logging_2421/klagomålsmail/A 61846-2022 FSC-klagomål mail.docx", "A 61846-2022")</f>
        <v/>
      </c>
      <c r="X67">
        <f>HYPERLINK("https://klasma.github.io/Logging_2421/tillsyn/A 61846-2022 tillsynsbegäran.docx", "A 61846-2022")</f>
        <v/>
      </c>
      <c r="Y67">
        <f>HYPERLINK("https://klasma.github.io/Logging_2421/tillsynsmail/A 61846-2022 tillsynsbegäran mail.docx", "A 61846-2022")</f>
        <v/>
      </c>
      <c r="Z67">
        <f>HYPERLINK("https://klasma.github.io/Logging_2421/fåglar/A 61846-2022 prioriterade fågelarter.docx", "A 61846-2022")</f>
        <v/>
      </c>
    </row>
    <row r="68" ht="15" customHeight="1">
      <c r="A68" t="inlineStr">
        <is>
          <t>A 16833-2024</t>
        </is>
      </c>
      <c r="B68" s="1" t="n">
        <v>45411</v>
      </c>
      <c r="C68" s="1" t="n">
        <v>46195</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14070-2022</t>
        </is>
      </c>
      <c r="B69" s="1" t="n">
        <v>44650</v>
      </c>
      <c r="C69" s="1" t="n">
        <v>46195</v>
      </c>
      <c r="D69" t="inlineStr">
        <is>
          <t>VÄSTERBOTTENS LÄN</t>
        </is>
      </c>
      <c r="E69" t="inlineStr">
        <is>
          <t>STORUMAN</t>
        </is>
      </c>
      <c r="F69" t="inlineStr">
        <is>
          <t>Övriga statliga verk och myndigheter</t>
        </is>
      </c>
      <c r="G69" t="n">
        <v>14.1</v>
      </c>
      <c r="H69" t="n">
        <v>1</v>
      </c>
      <c r="I69" t="n">
        <v>0</v>
      </c>
      <c r="J69" t="n">
        <v>0</v>
      </c>
      <c r="K69" t="n">
        <v>0</v>
      </c>
      <c r="L69" t="n">
        <v>0</v>
      </c>
      <c r="M69" t="n">
        <v>0</v>
      </c>
      <c r="N69" t="n">
        <v>0</v>
      </c>
      <c r="O69" t="n">
        <v>0</v>
      </c>
      <c r="P69" t="n">
        <v>0</v>
      </c>
      <c r="Q69" t="n">
        <v>1</v>
      </c>
      <c r="R69" s="2" t="inlineStr">
        <is>
          <t>Järpe</t>
        </is>
      </c>
      <c r="S69">
        <f>HYPERLINK("https://klasma.github.io/Logging_2421/artfynd/A 14070-2022 artfynd.xlsx", "A 14070-2022")</f>
        <v/>
      </c>
      <c r="T69">
        <f>HYPERLINK("https://klasma.github.io/Logging_2421/kartor/A 14070-2022 karta.png", "A 14070-2022")</f>
        <v/>
      </c>
      <c r="V69">
        <f>HYPERLINK("https://klasma.github.io/Logging_2421/klagomål/A 14070-2022 FSC-klagomål.docx", "A 14070-2022")</f>
        <v/>
      </c>
      <c r="W69">
        <f>HYPERLINK("https://klasma.github.io/Logging_2421/klagomålsmail/A 14070-2022 FSC-klagomål mail.docx", "A 14070-2022")</f>
        <v/>
      </c>
      <c r="X69">
        <f>HYPERLINK("https://klasma.github.io/Logging_2421/tillsyn/A 14070-2022 tillsynsbegäran.docx", "A 14070-2022")</f>
        <v/>
      </c>
      <c r="Y69">
        <f>HYPERLINK("https://klasma.github.io/Logging_2421/tillsynsmail/A 14070-2022 tillsynsbegäran mail.docx", "A 14070-2022")</f>
        <v/>
      </c>
      <c r="Z69">
        <f>HYPERLINK("https://klasma.github.io/Logging_2421/fåglar/A 14070-2022 prioriterade fågelarter.docx", "A 14070-2022")</f>
        <v/>
      </c>
    </row>
    <row r="70" ht="15" customHeight="1">
      <c r="A70" t="inlineStr">
        <is>
          <t>A 45404-2024</t>
        </is>
      </c>
      <c r="B70" s="1" t="n">
        <v>45576</v>
      </c>
      <c r="C70" s="1" t="n">
        <v>46195</v>
      </c>
      <c r="D70" t="inlineStr">
        <is>
          <t>VÄSTERBOTTENS LÄN</t>
        </is>
      </c>
      <c r="E70" t="inlineStr">
        <is>
          <t>STORUMAN</t>
        </is>
      </c>
      <c r="F70" t="inlineStr">
        <is>
          <t>Sveaskog</t>
        </is>
      </c>
      <c r="G70" t="n">
        <v>3.3</v>
      </c>
      <c r="H70" t="n">
        <v>0</v>
      </c>
      <c r="I70" t="n">
        <v>0</v>
      </c>
      <c r="J70" t="n">
        <v>1</v>
      </c>
      <c r="K70" t="n">
        <v>0</v>
      </c>
      <c r="L70" t="n">
        <v>0</v>
      </c>
      <c r="M70" t="n">
        <v>0</v>
      </c>
      <c r="N70" t="n">
        <v>0</v>
      </c>
      <c r="O70" t="n">
        <v>1</v>
      </c>
      <c r="P70" t="n">
        <v>0</v>
      </c>
      <c r="Q70" t="n">
        <v>1</v>
      </c>
      <c r="R70" s="2" t="inlineStr">
        <is>
          <t>Lunglav</t>
        </is>
      </c>
      <c r="S70">
        <f>HYPERLINK("https://klasma.github.io/Logging_2421/artfynd/A 45404-2024 artfynd.xlsx", "A 45404-2024")</f>
        <v/>
      </c>
      <c r="T70">
        <f>HYPERLINK("https://klasma.github.io/Logging_2421/kartor/A 45404-2024 karta.png", "A 45404-2024")</f>
        <v/>
      </c>
      <c r="V70">
        <f>HYPERLINK("https://klasma.github.io/Logging_2421/klagomål/A 45404-2024 FSC-klagomål.docx", "A 45404-2024")</f>
        <v/>
      </c>
      <c r="W70">
        <f>HYPERLINK("https://klasma.github.io/Logging_2421/klagomålsmail/A 45404-2024 FSC-klagomål mail.docx", "A 45404-2024")</f>
        <v/>
      </c>
      <c r="X70">
        <f>HYPERLINK("https://klasma.github.io/Logging_2421/tillsyn/A 45404-2024 tillsynsbegäran.docx", "A 45404-2024")</f>
        <v/>
      </c>
      <c r="Y70">
        <f>HYPERLINK("https://klasma.github.io/Logging_2421/tillsynsmail/A 45404-2024 tillsynsbegäran mail.docx", "A 45404-2024")</f>
        <v/>
      </c>
    </row>
    <row r="71" ht="15" customHeight="1">
      <c r="A71" t="inlineStr">
        <is>
          <t>A 25111-2023</t>
        </is>
      </c>
      <c r="B71" s="1" t="n">
        <v>45078</v>
      </c>
      <c r="C71" s="1" t="n">
        <v>46195</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33882-2025</t>
        </is>
      </c>
      <c r="B72" s="1" t="n">
        <v>45842</v>
      </c>
      <c r="C72" s="1" t="n">
        <v>46195</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59351-2025</t>
        </is>
      </c>
      <c r="B73" s="1" t="n">
        <v>45989</v>
      </c>
      <c r="C73" s="1" t="n">
        <v>46195</v>
      </c>
      <c r="D73" t="inlineStr">
        <is>
          <t>VÄSTERBOTTENS LÄN</t>
        </is>
      </c>
      <c r="E73" t="inlineStr">
        <is>
          <t>STORUMAN</t>
        </is>
      </c>
      <c r="F73" t="inlineStr">
        <is>
          <t>Övriga statliga verk och myndigheter</t>
        </is>
      </c>
      <c r="G73" t="n">
        <v>67.59999999999999</v>
      </c>
      <c r="H73" t="n">
        <v>1</v>
      </c>
      <c r="I73" t="n">
        <v>0</v>
      </c>
      <c r="J73" t="n">
        <v>1</v>
      </c>
      <c r="K73" t="n">
        <v>0</v>
      </c>
      <c r="L73" t="n">
        <v>0</v>
      </c>
      <c r="M73" t="n">
        <v>0</v>
      </c>
      <c r="N73" t="n">
        <v>0</v>
      </c>
      <c r="O73" t="n">
        <v>1</v>
      </c>
      <c r="P73" t="n">
        <v>0</v>
      </c>
      <c r="Q73" t="n">
        <v>1</v>
      </c>
      <c r="R73" s="2" t="inlineStr">
        <is>
          <t>Lavskrika</t>
        </is>
      </c>
      <c r="S73">
        <f>HYPERLINK("https://klasma.github.io/Logging_2421/artfynd/A 59351-2025 artfynd.xlsx", "A 59351-2025")</f>
        <v/>
      </c>
      <c r="T73">
        <f>HYPERLINK("https://klasma.github.io/Logging_2421/kartor/A 59351-2025 karta.png", "A 59351-2025")</f>
        <v/>
      </c>
      <c r="V73">
        <f>HYPERLINK("https://klasma.github.io/Logging_2421/klagomål/A 59351-2025 FSC-klagomål.docx", "A 59351-2025")</f>
        <v/>
      </c>
      <c r="W73">
        <f>HYPERLINK("https://klasma.github.io/Logging_2421/klagomålsmail/A 59351-2025 FSC-klagomål mail.docx", "A 59351-2025")</f>
        <v/>
      </c>
      <c r="X73">
        <f>HYPERLINK("https://klasma.github.io/Logging_2421/tillsyn/A 59351-2025 tillsynsbegäran.docx", "A 59351-2025")</f>
        <v/>
      </c>
      <c r="Y73">
        <f>HYPERLINK("https://klasma.github.io/Logging_2421/tillsynsmail/A 59351-2025 tillsynsbegäran mail.docx", "A 59351-2025")</f>
        <v/>
      </c>
      <c r="Z73">
        <f>HYPERLINK("https://klasma.github.io/Logging_2421/fåglar/A 59351-2025 prioriterade fågelarter.docx", "A 59351-2025")</f>
        <v/>
      </c>
    </row>
    <row r="74" ht="15" customHeight="1">
      <c r="A74" t="inlineStr">
        <is>
          <t>A 59935-2025</t>
        </is>
      </c>
      <c r="B74" s="1" t="n">
        <v>45993</v>
      </c>
      <c r="C74" s="1" t="n">
        <v>46195</v>
      </c>
      <c r="D74" t="inlineStr">
        <is>
          <t>VÄSTERBOTTENS LÄN</t>
        </is>
      </c>
      <c r="E74" t="inlineStr">
        <is>
          <t>STORUMAN</t>
        </is>
      </c>
      <c r="G74" t="n">
        <v>3.4</v>
      </c>
      <c r="H74" t="n">
        <v>0</v>
      </c>
      <c r="I74" t="n">
        <v>0</v>
      </c>
      <c r="J74" t="n">
        <v>1</v>
      </c>
      <c r="K74" t="n">
        <v>0</v>
      </c>
      <c r="L74" t="n">
        <v>0</v>
      </c>
      <c r="M74" t="n">
        <v>0</v>
      </c>
      <c r="N74" t="n">
        <v>0</v>
      </c>
      <c r="O74" t="n">
        <v>1</v>
      </c>
      <c r="P74" t="n">
        <v>0</v>
      </c>
      <c r="Q74" t="n">
        <v>1</v>
      </c>
      <c r="R74" s="2" t="inlineStr">
        <is>
          <t>Gammelgransskål</t>
        </is>
      </c>
      <c r="S74">
        <f>HYPERLINK("https://klasma.github.io/Logging_2421/artfynd/A 59935-2025 artfynd.xlsx", "A 59935-2025")</f>
        <v/>
      </c>
      <c r="T74">
        <f>HYPERLINK("https://klasma.github.io/Logging_2421/kartor/A 59935-2025 karta.png", "A 59935-2025")</f>
        <v/>
      </c>
      <c r="V74">
        <f>HYPERLINK("https://klasma.github.io/Logging_2421/klagomål/A 59935-2025 FSC-klagomål.docx", "A 59935-2025")</f>
        <v/>
      </c>
      <c r="W74">
        <f>HYPERLINK("https://klasma.github.io/Logging_2421/klagomålsmail/A 59935-2025 FSC-klagomål mail.docx", "A 59935-2025")</f>
        <v/>
      </c>
      <c r="X74">
        <f>HYPERLINK("https://klasma.github.io/Logging_2421/tillsyn/A 59935-2025 tillsynsbegäran.docx", "A 59935-2025")</f>
        <v/>
      </c>
      <c r="Y74">
        <f>HYPERLINK("https://klasma.github.io/Logging_2421/tillsynsmail/A 59935-2025 tillsynsbegäran mail.docx", "A 59935-2025")</f>
        <v/>
      </c>
    </row>
    <row r="75" ht="15" customHeight="1">
      <c r="A75" t="inlineStr">
        <is>
          <t>A 25201-2026</t>
        </is>
      </c>
      <c r="B75" s="1" t="n">
        <v>46175</v>
      </c>
      <c r="C75" s="1" t="n">
        <v>46195</v>
      </c>
      <c r="D75" t="inlineStr">
        <is>
          <t>VÄSTERBOTTENS LÄN</t>
        </is>
      </c>
      <c r="E75" t="inlineStr">
        <is>
          <t>STORUMAN</t>
        </is>
      </c>
      <c r="G75" t="n">
        <v>113</v>
      </c>
      <c r="H75" t="n">
        <v>1</v>
      </c>
      <c r="I75" t="n">
        <v>0</v>
      </c>
      <c r="J75" t="n">
        <v>1</v>
      </c>
      <c r="K75" t="n">
        <v>0</v>
      </c>
      <c r="L75" t="n">
        <v>0</v>
      </c>
      <c r="M75" t="n">
        <v>0</v>
      </c>
      <c r="N75" t="n">
        <v>0</v>
      </c>
      <c r="O75" t="n">
        <v>1</v>
      </c>
      <c r="P75" t="n">
        <v>0</v>
      </c>
      <c r="Q75" t="n">
        <v>1</v>
      </c>
      <c r="R75" s="2" t="inlineStr">
        <is>
          <t>Lavskrika</t>
        </is>
      </c>
      <c r="S75">
        <f>HYPERLINK("https://klasma.github.io/Logging_2421/artfynd/A 25201-2026 artfynd.xlsx", "A 25201-2026")</f>
        <v/>
      </c>
      <c r="T75">
        <f>HYPERLINK("https://klasma.github.io/Logging_2421/kartor/A 25201-2026 karta.png", "A 25201-2026")</f>
        <v/>
      </c>
      <c r="V75">
        <f>HYPERLINK("https://klasma.github.io/Logging_2421/klagomål/A 25201-2026 FSC-klagomål.docx", "A 25201-2026")</f>
        <v/>
      </c>
      <c r="W75">
        <f>HYPERLINK("https://klasma.github.io/Logging_2421/klagomålsmail/A 25201-2026 FSC-klagomål mail.docx", "A 25201-2026")</f>
        <v/>
      </c>
      <c r="X75">
        <f>HYPERLINK("https://klasma.github.io/Logging_2421/tillsyn/A 25201-2026 tillsynsbegäran.docx", "A 25201-2026")</f>
        <v/>
      </c>
      <c r="Y75">
        <f>HYPERLINK("https://klasma.github.io/Logging_2421/tillsynsmail/A 25201-2026 tillsynsbegäran mail.docx", "A 25201-2026")</f>
        <v/>
      </c>
      <c r="Z75">
        <f>HYPERLINK("https://klasma.github.io/Logging_2421/fåglar/A 25201-2026 prioriterade fågelarter.docx", "A 25201-2026")</f>
        <v/>
      </c>
    </row>
    <row r="76" ht="15" customHeight="1">
      <c r="A76" t="inlineStr">
        <is>
          <t>A 22873-2026</t>
        </is>
      </c>
      <c r="B76" s="1" t="n">
        <v>46156</v>
      </c>
      <c r="C76" s="1" t="n">
        <v>46195</v>
      </c>
      <c r="D76" t="inlineStr">
        <is>
          <t>VÄSTERBOTTENS LÄN</t>
        </is>
      </c>
      <c r="E76" t="inlineStr">
        <is>
          <t>STORUMAN</t>
        </is>
      </c>
      <c r="G76" t="n">
        <v>43.5</v>
      </c>
      <c r="H76" t="n">
        <v>1</v>
      </c>
      <c r="I76" t="n">
        <v>0</v>
      </c>
      <c r="J76" t="n">
        <v>0</v>
      </c>
      <c r="K76" t="n">
        <v>0</v>
      </c>
      <c r="L76" t="n">
        <v>0</v>
      </c>
      <c r="M76" t="n">
        <v>0</v>
      </c>
      <c r="N76" t="n">
        <v>0</v>
      </c>
      <c r="O76" t="n">
        <v>0</v>
      </c>
      <c r="P76" t="n">
        <v>0</v>
      </c>
      <c r="Q76" t="n">
        <v>1</v>
      </c>
      <c r="R76" s="2" t="inlineStr">
        <is>
          <t>Vanlig groda</t>
        </is>
      </c>
      <c r="S76">
        <f>HYPERLINK("https://klasma.github.io/Logging_2421/artfynd/A 22873-2026 artfynd.xlsx", "A 22873-2026")</f>
        <v/>
      </c>
      <c r="T76">
        <f>HYPERLINK("https://klasma.github.io/Logging_2421/kartor/A 22873-2026 karta.png", "A 22873-2026")</f>
        <v/>
      </c>
      <c r="V76">
        <f>HYPERLINK("https://klasma.github.io/Logging_2421/klagomål/A 22873-2026 FSC-klagomål.docx", "A 22873-2026")</f>
        <v/>
      </c>
      <c r="W76">
        <f>HYPERLINK("https://klasma.github.io/Logging_2421/klagomålsmail/A 22873-2026 FSC-klagomål mail.docx", "A 22873-2026")</f>
        <v/>
      </c>
      <c r="X76">
        <f>HYPERLINK("https://klasma.github.io/Logging_2421/tillsyn/A 22873-2026 tillsynsbegäran.docx", "A 22873-2026")</f>
        <v/>
      </c>
      <c r="Y76">
        <f>HYPERLINK("https://klasma.github.io/Logging_2421/tillsynsmail/A 22873-2026 tillsynsbegäran mail.docx", "A 22873-2026")</f>
        <v/>
      </c>
    </row>
    <row r="77" ht="15" customHeight="1">
      <c r="A77" t="inlineStr">
        <is>
          <t>A 50942-2024</t>
        </is>
      </c>
      <c r="B77" s="1" t="n">
        <v>45602</v>
      </c>
      <c r="C77" s="1" t="n">
        <v>46195</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52680-2023</t>
        </is>
      </c>
      <c r="B78" s="1" t="n">
        <v>45219</v>
      </c>
      <c r="C78" s="1" t="n">
        <v>46195</v>
      </c>
      <c r="D78" t="inlineStr">
        <is>
          <t>VÄSTERBOTTENS LÄN</t>
        </is>
      </c>
      <c r="E78" t="inlineStr">
        <is>
          <t>STORUMAN</t>
        </is>
      </c>
      <c r="G78" t="n">
        <v>31.8</v>
      </c>
      <c r="H78" t="n">
        <v>0</v>
      </c>
      <c r="I78" t="n">
        <v>0</v>
      </c>
      <c r="J78" t="n">
        <v>0</v>
      </c>
      <c r="K78" t="n">
        <v>1</v>
      </c>
      <c r="L78" t="n">
        <v>0</v>
      </c>
      <c r="M78" t="n">
        <v>0</v>
      </c>
      <c r="N78" t="n">
        <v>0</v>
      </c>
      <c r="O78" t="n">
        <v>1</v>
      </c>
      <c r="P78" t="n">
        <v>1</v>
      </c>
      <c r="Q78" t="n">
        <v>1</v>
      </c>
      <c r="R78" s="2" t="inlineStr">
        <is>
          <t>Gränsticka</t>
        </is>
      </c>
      <c r="S78">
        <f>HYPERLINK("https://klasma.github.io/Logging_2421/artfynd/A 52680-2023 artfynd.xlsx", "A 52680-2023")</f>
        <v/>
      </c>
      <c r="T78">
        <f>HYPERLINK("https://klasma.github.io/Logging_2421/kartor/A 52680-2023 karta.png", "A 52680-2023")</f>
        <v/>
      </c>
      <c r="V78">
        <f>HYPERLINK("https://klasma.github.io/Logging_2421/klagomål/A 52680-2023 FSC-klagomål.docx", "A 52680-2023")</f>
        <v/>
      </c>
      <c r="W78">
        <f>HYPERLINK("https://klasma.github.io/Logging_2421/klagomålsmail/A 52680-2023 FSC-klagomål mail.docx", "A 52680-2023")</f>
        <v/>
      </c>
      <c r="X78">
        <f>HYPERLINK("https://klasma.github.io/Logging_2421/tillsyn/A 52680-2023 tillsynsbegäran.docx", "A 52680-2023")</f>
        <v/>
      </c>
      <c r="Y78">
        <f>HYPERLINK("https://klasma.github.io/Logging_2421/tillsynsmail/A 52680-2023 tillsynsbegäran mail.docx", "A 52680-2023")</f>
        <v/>
      </c>
    </row>
    <row r="79" ht="15" customHeight="1">
      <c r="A79" t="inlineStr">
        <is>
          <t>A 21874-2026</t>
        </is>
      </c>
      <c r="B79" s="1" t="n">
        <v>46150</v>
      </c>
      <c r="C79" s="1" t="n">
        <v>46195</v>
      </c>
      <c r="D79" t="inlineStr">
        <is>
          <t>VÄSTERBOTTENS LÄN</t>
        </is>
      </c>
      <c r="E79" t="inlineStr">
        <is>
          <t>STORUMAN</t>
        </is>
      </c>
      <c r="G79" t="n">
        <v>9.699999999999999</v>
      </c>
      <c r="H79" t="n">
        <v>1</v>
      </c>
      <c r="I79" t="n">
        <v>0</v>
      </c>
      <c r="J79" t="n">
        <v>0</v>
      </c>
      <c r="K79" t="n">
        <v>0</v>
      </c>
      <c r="L79" t="n">
        <v>0</v>
      </c>
      <c r="M79" t="n">
        <v>0</v>
      </c>
      <c r="N79" t="n">
        <v>0</v>
      </c>
      <c r="O79" t="n">
        <v>0</v>
      </c>
      <c r="P79" t="n">
        <v>0</v>
      </c>
      <c r="Q79" t="n">
        <v>1</v>
      </c>
      <c r="R79" s="2" t="inlineStr">
        <is>
          <t>Huggorm</t>
        </is>
      </c>
      <c r="S79">
        <f>HYPERLINK("https://klasma.github.io/Logging_2421/artfynd/A 21874-2026 artfynd.xlsx", "A 21874-2026")</f>
        <v/>
      </c>
      <c r="T79">
        <f>HYPERLINK("https://klasma.github.io/Logging_2421/kartor/A 21874-2026 karta.png", "A 21874-2026")</f>
        <v/>
      </c>
      <c r="V79">
        <f>HYPERLINK("https://klasma.github.io/Logging_2421/klagomål/A 21874-2026 FSC-klagomål.docx", "A 21874-2026")</f>
        <v/>
      </c>
      <c r="W79">
        <f>HYPERLINK("https://klasma.github.io/Logging_2421/klagomålsmail/A 21874-2026 FSC-klagomål mail.docx", "A 21874-2026")</f>
        <v/>
      </c>
      <c r="X79">
        <f>HYPERLINK("https://klasma.github.io/Logging_2421/tillsyn/A 21874-2026 tillsynsbegäran.docx", "A 21874-2026")</f>
        <v/>
      </c>
      <c r="Y79">
        <f>HYPERLINK("https://klasma.github.io/Logging_2421/tillsynsmail/A 21874-2026 tillsynsbegäran mail.docx", "A 21874-2026")</f>
        <v/>
      </c>
    </row>
    <row r="80" ht="15" customHeight="1">
      <c r="A80" t="inlineStr">
        <is>
          <t>A 21665-2026</t>
        </is>
      </c>
      <c r="B80" s="1" t="n">
        <v>46149</v>
      </c>
      <c r="C80" s="1" t="n">
        <v>46195</v>
      </c>
      <c r="D80" t="inlineStr">
        <is>
          <t>VÄSTERBOTTENS LÄN</t>
        </is>
      </c>
      <c r="E80" t="inlineStr">
        <is>
          <t>STORUMAN</t>
        </is>
      </c>
      <c r="F80" t="inlineStr">
        <is>
          <t>SCA</t>
        </is>
      </c>
      <c r="G80" t="n">
        <v>3.6</v>
      </c>
      <c r="H80" t="n">
        <v>1</v>
      </c>
      <c r="I80" t="n">
        <v>0</v>
      </c>
      <c r="J80" t="n">
        <v>0</v>
      </c>
      <c r="K80" t="n">
        <v>1</v>
      </c>
      <c r="L80" t="n">
        <v>0</v>
      </c>
      <c r="M80" t="n">
        <v>0</v>
      </c>
      <c r="N80" t="n">
        <v>0</v>
      </c>
      <c r="O80" t="n">
        <v>1</v>
      </c>
      <c r="P80" t="n">
        <v>1</v>
      </c>
      <c r="Q80" t="n">
        <v>1</v>
      </c>
      <c r="R80" s="2" t="inlineStr">
        <is>
          <t>Knärot</t>
        </is>
      </c>
      <c r="S80">
        <f>HYPERLINK("https://klasma.github.io/Logging_2421/artfynd/A 21665-2026 artfynd.xlsx", "A 21665-2026")</f>
        <v/>
      </c>
      <c r="T80">
        <f>HYPERLINK("https://klasma.github.io/Logging_2421/kartor/A 21665-2026 karta.png", "A 21665-2026")</f>
        <v/>
      </c>
      <c r="U80">
        <f>HYPERLINK("https://klasma.github.io/Logging_2421/knärot/A 21665-2026 karta knärot.png", "A 21665-2026")</f>
        <v/>
      </c>
      <c r="V80">
        <f>HYPERLINK("https://klasma.github.io/Logging_2421/klagomål/A 21665-2026 FSC-klagomål.docx", "A 21665-2026")</f>
        <v/>
      </c>
      <c r="W80">
        <f>HYPERLINK("https://klasma.github.io/Logging_2421/klagomålsmail/A 21665-2026 FSC-klagomål mail.docx", "A 21665-2026")</f>
        <v/>
      </c>
      <c r="X80">
        <f>HYPERLINK("https://klasma.github.io/Logging_2421/tillsyn/A 21665-2026 tillsynsbegäran.docx", "A 21665-2026")</f>
        <v/>
      </c>
      <c r="Y80">
        <f>HYPERLINK("https://klasma.github.io/Logging_2421/tillsynsmail/A 21665-2026 tillsynsbegäran mail.docx", "A 21665-2026")</f>
        <v/>
      </c>
    </row>
    <row r="81" ht="15" customHeight="1">
      <c r="A81" t="inlineStr">
        <is>
          <t>A 7219-2026</t>
        </is>
      </c>
      <c r="B81" s="1" t="n">
        <v>46058</v>
      </c>
      <c r="C81" s="1" t="n">
        <v>46195</v>
      </c>
      <c r="D81" t="inlineStr">
        <is>
          <t>VÄSTERBOTTENS LÄN</t>
        </is>
      </c>
      <c r="E81" t="inlineStr">
        <is>
          <t>STORUMAN</t>
        </is>
      </c>
      <c r="G81" t="n">
        <v>12.8</v>
      </c>
      <c r="H81" t="n">
        <v>0</v>
      </c>
      <c r="I81" t="n">
        <v>0</v>
      </c>
      <c r="J81" t="n">
        <v>1</v>
      </c>
      <c r="K81" t="n">
        <v>0</v>
      </c>
      <c r="L81" t="n">
        <v>0</v>
      </c>
      <c r="M81" t="n">
        <v>0</v>
      </c>
      <c r="N81" t="n">
        <v>0</v>
      </c>
      <c r="O81" t="n">
        <v>1</v>
      </c>
      <c r="P81" t="n">
        <v>0</v>
      </c>
      <c r="Q81" t="n">
        <v>1</v>
      </c>
      <c r="R81" s="2" t="inlineStr">
        <is>
          <t>Vedflikmossa</t>
        </is>
      </c>
      <c r="S81">
        <f>HYPERLINK("https://klasma.github.io/Logging_2421/artfynd/A 7219-2026 artfynd.xlsx", "A 7219-2026")</f>
        <v/>
      </c>
      <c r="T81">
        <f>HYPERLINK("https://klasma.github.io/Logging_2421/kartor/A 7219-2026 karta.png", "A 7219-2026")</f>
        <v/>
      </c>
      <c r="V81">
        <f>HYPERLINK("https://klasma.github.io/Logging_2421/klagomål/A 7219-2026 FSC-klagomål.docx", "A 7219-2026")</f>
        <v/>
      </c>
      <c r="W81">
        <f>HYPERLINK("https://klasma.github.io/Logging_2421/klagomålsmail/A 7219-2026 FSC-klagomål mail.docx", "A 7219-2026")</f>
        <v/>
      </c>
      <c r="X81">
        <f>HYPERLINK("https://klasma.github.io/Logging_2421/tillsyn/A 7219-2026 tillsynsbegäran.docx", "A 7219-2026")</f>
        <v/>
      </c>
      <c r="Y81">
        <f>HYPERLINK("https://klasma.github.io/Logging_2421/tillsynsmail/A 7219-2026 tillsynsbegäran mail.docx", "A 7219-2026")</f>
        <v/>
      </c>
    </row>
    <row r="82" ht="15" customHeight="1">
      <c r="A82" t="inlineStr">
        <is>
          <t>A 59058-2023</t>
        </is>
      </c>
      <c r="B82" s="1" t="n">
        <v>45252</v>
      </c>
      <c r="C82" s="1" t="n">
        <v>46195</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13142-2026</t>
        </is>
      </c>
      <c r="B83" s="1" t="n">
        <v>46093</v>
      </c>
      <c r="C83" s="1" t="n">
        <v>46195</v>
      </c>
      <c r="D83" t="inlineStr">
        <is>
          <t>VÄSTERBOTTENS LÄN</t>
        </is>
      </c>
      <c r="E83" t="inlineStr">
        <is>
          <t>STORUMAN</t>
        </is>
      </c>
      <c r="F83" t="inlineStr">
        <is>
          <t>SCA</t>
        </is>
      </c>
      <c r="G83" t="n">
        <v>19.6</v>
      </c>
      <c r="H83" t="n">
        <v>1</v>
      </c>
      <c r="I83" t="n">
        <v>0</v>
      </c>
      <c r="J83" t="n">
        <v>0</v>
      </c>
      <c r="K83" t="n">
        <v>1</v>
      </c>
      <c r="L83" t="n">
        <v>0</v>
      </c>
      <c r="M83" t="n">
        <v>0</v>
      </c>
      <c r="N83" t="n">
        <v>0</v>
      </c>
      <c r="O83" t="n">
        <v>1</v>
      </c>
      <c r="P83" t="n">
        <v>1</v>
      </c>
      <c r="Q83" t="n">
        <v>1</v>
      </c>
      <c r="R83" s="2" t="inlineStr">
        <is>
          <t>Tajgablåstjärt</t>
        </is>
      </c>
      <c r="S83">
        <f>HYPERLINK("https://klasma.github.io/Logging_2421/artfynd/A 13142-2026 artfynd.xlsx", "A 13142-2026")</f>
        <v/>
      </c>
      <c r="T83">
        <f>HYPERLINK("https://klasma.github.io/Logging_2421/kartor/A 13142-2026 karta.png", "A 13142-2026")</f>
        <v/>
      </c>
      <c r="V83">
        <f>HYPERLINK("https://klasma.github.io/Logging_2421/klagomål/A 13142-2026 FSC-klagomål.docx", "A 13142-2026")</f>
        <v/>
      </c>
      <c r="W83">
        <f>HYPERLINK("https://klasma.github.io/Logging_2421/klagomålsmail/A 13142-2026 FSC-klagomål mail.docx", "A 13142-2026")</f>
        <v/>
      </c>
      <c r="X83">
        <f>HYPERLINK("https://klasma.github.io/Logging_2421/tillsyn/A 13142-2026 tillsynsbegäran.docx", "A 13142-2026")</f>
        <v/>
      </c>
      <c r="Y83">
        <f>HYPERLINK("https://klasma.github.io/Logging_2421/tillsynsmail/A 13142-2026 tillsynsbegäran mail.docx", "A 13142-2026")</f>
        <v/>
      </c>
      <c r="Z83">
        <f>HYPERLINK("https://klasma.github.io/Logging_2421/fåglar/A 13142-2026 prioriterade fågelarter.docx", "A 13142-2026")</f>
        <v/>
      </c>
    </row>
    <row r="84" ht="15" customHeight="1">
      <c r="A84" t="inlineStr">
        <is>
          <t>A 19153-2023</t>
        </is>
      </c>
      <c r="B84" s="1" t="n">
        <v>45044</v>
      </c>
      <c r="C84" s="1" t="n">
        <v>46195</v>
      </c>
      <c r="D84" t="inlineStr">
        <is>
          <t>VÄSTERBOTTENS LÄN</t>
        </is>
      </c>
      <c r="E84" t="inlineStr">
        <is>
          <t>STORUMAN</t>
        </is>
      </c>
      <c r="G84" t="n">
        <v>16</v>
      </c>
      <c r="H84" t="n">
        <v>0</v>
      </c>
      <c r="I84" t="n">
        <v>0</v>
      </c>
      <c r="J84" t="n">
        <v>1</v>
      </c>
      <c r="K84" t="n">
        <v>0</v>
      </c>
      <c r="L84" t="n">
        <v>0</v>
      </c>
      <c r="M84" t="n">
        <v>0</v>
      </c>
      <c r="N84" t="n">
        <v>0</v>
      </c>
      <c r="O84" t="n">
        <v>1</v>
      </c>
      <c r="P84" t="n">
        <v>0</v>
      </c>
      <c r="Q84" t="n">
        <v>1</v>
      </c>
      <c r="R84" s="2" t="inlineStr">
        <is>
          <t>Ullticka</t>
        </is>
      </c>
      <c r="S84">
        <f>HYPERLINK("https://klasma.github.io/Logging_2421/artfynd/A 19153-2023 artfynd.xlsx", "A 19153-2023")</f>
        <v/>
      </c>
      <c r="T84">
        <f>HYPERLINK("https://klasma.github.io/Logging_2421/kartor/A 19153-2023 karta.png", "A 19153-2023")</f>
        <v/>
      </c>
      <c r="V84">
        <f>HYPERLINK("https://klasma.github.io/Logging_2421/klagomål/A 19153-2023 FSC-klagomål.docx", "A 19153-2023")</f>
        <v/>
      </c>
      <c r="W84">
        <f>HYPERLINK("https://klasma.github.io/Logging_2421/klagomålsmail/A 19153-2023 FSC-klagomål mail.docx", "A 19153-2023")</f>
        <v/>
      </c>
      <c r="X84">
        <f>HYPERLINK("https://klasma.github.io/Logging_2421/tillsyn/A 19153-2023 tillsynsbegäran.docx", "A 19153-2023")</f>
        <v/>
      </c>
      <c r="Y84">
        <f>HYPERLINK("https://klasma.github.io/Logging_2421/tillsynsmail/A 19153-2023 tillsynsbegäran mail.docx", "A 19153-2023")</f>
        <v/>
      </c>
    </row>
    <row r="85" ht="15" customHeight="1">
      <c r="A85" t="inlineStr">
        <is>
          <t>A 3826-2023</t>
        </is>
      </c>
      <c r="B85" s="1" t="n">
        <v>44950</v>
      </c>
      <c r="C85" s="1" t="n">
        <v>46195</v>
      </c>
      <c r="D85" t="inlineStr">
        <is>
          <t>VÄSTERBOTTENS LÄN</t>
        </is>
      </c>
      <c r="E85" t="inlineStr">
        <is>
          <t>STORUMAN</t>
        </is>
      </c>
      <c r="G85" t="n">
        <v>0.7</v>
      </c>
      <c r="H85" t="n">
        <v>1</v>
      </c>
      <c r="I85" t="n">
        <v>0</v>
      </c>
      <c r="J85" t="n">
        <v>1</v>
      </c>
      <c r="K85" t="n">
        <v>0</v>
      </c>
      <c r="L85" t="n">
        <v>0</v>
      </c>
      <c r="M85" t="n">
        <v>0</v>
      </c>
      <c r="N85" t="n">
        <v>0</v>
      </c>
      <c r="O85" t="n">
        <v>1</v>
      </c>
      <c r="P85" t="n">
        <v>0</v>
      </c>
      <c r="Q85" t="n">
        <v>1</v>
      </c>
      <c r="R85" s="2" t="inlineStr">
        <is>
          <t>Tretåig hackspett</t>
        </is>
      </c>
      <c r="S85">
        <f>HYPERLINK("https://klasma.github.io/Logging_2421/artfynd/A 3826-2023 artfynd.xlsx", "A 3826-2023")</f>
        <v/>
      </c>
      <c r="T85">
        <f>HYPERLINK("https://klasma.github.io/Logging_2421/kartor/A 3826-2023 karta.png", "A 3826-2023")</f>
        <v/>
      </c>
      <c r="V85">
        <f>HYPERLINK("https://klasma.github.io/Logging_2421/klagomål/A 3826-2023 FSC-klagomål.docx", "A 3826-2023")</f>
        <v/>
      </c>
      <c r="W85">
        <f>HYPERLINK("https://klasma.github.io/Logging_2421/klagomålsmail/A 3826-2023 FSC-klagomål mail.docx", "A 3826-2023")</f>
        <v/>
      </c>
      <c r="X85">
        <f>HYPERLINK("https://klasma.github.io/Logging_2421/tillsyn/A 3826-2023 tillsynsbegäran.docx", "A 3826-2023")</f>
        <v/>
      </c>
      <c r="Y85">
        <f>HYPERLINK("https://klasma.github.io/Logging_2421/tillsynsmail/A 3826-2023 tillsynsbegäran mail.docx", "A 3826-2023")</f>
        <v/>
      </c>
      <c r="Z85">
        <f>HYPERLINK("https://klasma.github.io/Logging_2421/fåglar/A 3826-2023 prioriterade fågelarter.docx", "A 3826-2023")</f>
        <v/>
      </c>
    </row>
    <row r="86" ht="15" customHeight="1">
      <c r="A86" t="inlineStr">
        <is>
          <t>A 36719-2021</t>
        </is>
      </c>
      <c r="B86" s="1" t="n">
        <v>44392</v>
      </c>
      <c r="C86" s="1" t="n">
        <v>46195</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46195</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46195</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46195</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v>
      </c>
      <c r="C90" s="1" t="n">
        <v>46195</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46195</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45761-2022</t>
        </is>
      </c>
      <c r="B92" s="1" t="n">
        <v>44846</v>
      </c>
      <c r="C92" s="1" t="n">
        <v>46195</v>
      </c>
      <c r="D92" t="inlineStr">
        <is>
          <t>VÄSTERBOTTENS LÄN</t>
        </is>
      </c>
      <c r="E92" t="inlineStr">
        <is>
          <t>STORUMAN</t>
        </is>
      </c>
      <c r="F92" t="inlineStr">
        <is>
          <t>Sveaskog</t>
        </is>
      </c>
      <c r="G92" t="n">
        <v>12.5</v>
      </c>
      <c r="H92" t="n">
        <v>0</v>
      </c>
      <c r="I92" t="n">
        <v>0</v>
      </c>
      <c r="J92" t="n">
        <v>0</v>
      </c>
      <c r="K92" t="n">
        <v>0</v>
      </c>
      <c r="L92" t="n">
        <v>0</v>
      </c>
      <c r="M92" t="n">
        <v>0</v>
      </c>
      <c r="N92" t="n">
        <v>0</v>
      </c>
      <c r="O92" t="n">
        <v>0</v>
      </c>
      <c r="P92" t="n">
        <v>0</v>
      </c>
      <c r="Q92" t="n">
        <v>0</v>
      </c>
      <c r="R92" s="2" t="inlineStr"/>
    </row>
    <row r="93" ht="15" customHeight="1">
      <c r="A93" t="inlineStr">
        <is>
          <t>A 54792-2021</t>
        </is>
      </c>
      <c r="B93" s="1" t="n">
        <v>44473</v>
      </c>
      <c r="C93" s="1" t="n">
        <v>46195</v>
      </c>
      <c r="D93" t="inlineStr">
        <is>
          <t>VÄSTERBOTTENS LÄN</t>
        </is>
      </c>
      <c r="E93" t="inlineStr">
        <is>
          <t>STORUMAN</t>
        </is>
      </c>
      <c r="F93" t="inlineStr">
        <is>
          <t>SCA</t>
        </is>
      </c>
      <c r="G93" t="n">
        <v>1.7</v>
      </c>
      <c r="H93" t="n">
        <v>0</v>
      </c>
      <c r="I93" t="n">
        <v>0</v>
      </c>
      <c r="J93" t="n">
        <v>0</v>
      </c>
      <c r="K93" t="n">
        <v>0</v>
      </c>
      <c r="L93" t="n">
        <v>0</v>
      </c>
      <c r="M93" t="n">
        <v>0</v>
      </c>
      <c r="N93" t="n">
        <v>0</v>
      </c>
      <c r="O93" t="n">
        <v>0</v>
      </c>
      <c r="P93" t="n">
        <v>0</v>
      </c>
      <c r="Q93" t="n">
        <v>0</v>
      </c>
      <c r="R93" s="2" t="inlineStr"/>
    </row>
    <row r="94" ht="15" customHeight="1">
      <c r="A94" t="inlineStr">
        <is>
          <t>A 16782-2022</t>
        </is>
      </c>
      <c r="B94" s="1" t="n">
        <v>44673</v>
      </c>
      <c r="C94" s="1" t="n">
        <v>46195</v>
      </c>
      <c r="D94" t="inlineStr">
        <is>
          <t>VÄSTERBOTTENS LÄN</t>
        </is>
      </c>
      <c r="E94" t="inlineStr">
        <is>
          <t>STORUMAN</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25397-2022</t>
        </is>
      </c>
      <c r="B95" s="1" t="n">
        <v>44732</v>
      </c>
      <c r="C95" s="1" t="n">
        <v>46195</v>
      </c>
      <c r="D95" t="inlineStr">
        <is>
          <t>VÄSTERBOTTENS LÄN</t>
        </is>
      </c>
      <c r="E95" t="inlineStr">
        <is>
          <t>STORUMAN</t>
        </is>
      </c>
      <c r="G95" t="n">
        <v>2.5</v>
      </c>
      <c r="H95" t="n">
        <v>0</v>
      </c>
      <c r="I95" t="n">
        <v>0</v>
      </c>
      <c r="J95" t="n">
        <v>0</v>
      </c>
      <c r="K95" t="n">
        <v>0</v>
      </c>
      <c r="L95" t="n">
        <v>0</v>
      </c>
      <c r="M95" t="n">
        <v>0</v>
      </c>
      <c r="N95" t="n">
        <v>0</v>
      </c>
      <c r="O95" t="n">
        <v>0</v>
      </c>
      <c r="P95" t="n">
        <v>0</v>
      </c>
      <c r="Q95" t="n">
        <v>0</v>
      </c>
      <c r="R95" s="2" t="inlineStr"/>
    </row>
    <row r="96" ht="15" customHeight="1">
      <c r="A96" t="inlineStr">
        <is>
          <t>A 52922-2021</t>
        </is>
      </c>
      <c r="B96" s="1" t="n">
        <v>44466</v>
      </c>
      <c r="C96" s="1" t="n">
        <v>46195</v>
      </c>
      <c r="D96" t="inlineStr">
        <is>
          <t>VÄSTERBOTTENS LÄN</t>
        </is>
      </c>
      <c r="E96" t="inlineStr">
        <is>
          <t>STORUMAN</t>
        </is>
      </c>
      <c r="G96" t="n">
        <v>0.7</v>
      </c>
      <c r="H96" t="n">
        <v>0</v>
      </c>
      <c r="I96" t="n">
        <v>0</v>
      </c>
      <c r="J96" t="n">
        <v>0</v>
      </c>
      <c r="K96" t="n">
        <v>0</v>
      </c>
      <c r="L96" t="n">
        <v>0</v>
      </c>
      <c r="M96" t="n">
        <v>0</v>
      </c>
      <c r="N96" t="n">
        <v>0</v>
      </c>
      <c r="O96" t="n">
        <v>0</v>
      </c>
      <c r="P96" t="n">
        <v>0</v>
      </c>
      <c r="Q96" t="n">
        <v>0</v>
      </c>
      <c r="R96" s="2" t="inlineStr"/>
    </row>
    <row r="97" ht="15" customHeight="1">
      <c r="A97" t="inlineStr">
        <is>
          <t>A 43202-2021</t>
        </is>
      </c>
      <c r="B97" s="1" t="n">
        <v>44431</v>
      </c>
      <c r="C97" s="1" t="n">
        <v>46195</v>
      </c>
      <c r="D97" t="inlineStr">
        <is>
          <t>VÄSTERBOTTENS LÄN</t>
        </is>
      </c>
      <c r="E97" t="inlineStr">
        <is>
          <t>STORUMAN</t>
        </is>
      </c>
      <c r="G97" t="n">
        <v>3.7</v>
      </c>
      <c r="H97" t="n">
        <v>0</v>
      </c>
      <c r="I97" t="n">
        <v>0</v>
      </c>
      <c r="J97" t="n">
        <v>0</v>
      </c>
      <c r="K97" t="n">
        <v>0</v>
      </c>
      <c r="L97" t="n">
        <v>0</v>
      </c>
      <c r="M97" t="n">
        <v>0</v>
      </c>
      <c r="N97" t="n">
        <v>0</v>
      </c>
      <c r="O97" t="n">
        <v>0</v>
      </c>
      <c r="P97" t="n">
        <v>0</v>
      </c>
      <c r="Q97" t="n">
        <v>0</v>
      </c>
      <c r="R97" s="2" t="inlineStr"/>
    </row>
    <row r="98" ht="15" customHeight="1">
      <c r="A98" t="inlineStr">
        <is>
          <t>A 36711-2021</t>
        </is>
      </c>
      <c r="B98" s="1" t="n">
        <v>44392</v>
      </c>
      <c r="C98" s="1" t="n">
        <v>46195</v>
      </c>
      <c r="D98" t="inlineStr">
        <is>
          <t>VÄSTERBOTTENS LÄN</t>
        </is>
      </c>
      <c r="E98" t="inlineStr">
        <is>
          <t>STORUMAN</t>
        </is>
      </c>
      <c r="G98" t="n">
        <v>24.7</v>
      </c>
      <c r="H98" t="n">
        <v>0</v>
      </c>
      <c r="I98" t="n">
        <v>0</v>
      </c>
      <c r="J98" t="n">
        <v>0</v>
      </c>
      <c r="K98" t="n">
        <v>0</v>
      </c>
      <c r="L98" t="n">
        <v>0</v>
      </c>
      <c r="M98" t="n">
        <v>0</v>
      </c>
      <c r="N98" t="n">
        <v>0</v>
      </c>
      <c r="O98" t="n">
        <v>0</v>
      </c>
      <c r="P98" t="n">
        <v>0</v>
      </c>
      <c r="Q98" t="n">
        <v>0</v>
      </c>
      <c r="R98" s="2" t="inlineStr"/>
    </row>
    <row r="99" ht="15" customHeight="1">
      <c r="A99" t="inlineStr">
        <is>
          <t>A 65463-2021</t>
        </is>
      </c>
      <c r="B99" s="1" t="n">
        <v>44515</v>
      </c>
      <c r="C99" s="1" t="n">
        <v>46195</v>
      </c>
      <c r="D99" t="inlineStr">
        <is>
          <t>VÄSTERBOTTENS LÄN</t>
        </is>
      </c>
      <c r="E99" t="inlineStr">
        <is>
          <t>STORUMAN</t>
        </is>
      </c>
      <c r="G99" t="n">
        <v>14.6</v>
      </c>
      <c r="H99" t="n">
        <v>0</v>
      </c>
      <c r="I99" t="n">
        <v>0</v>
      </c>
      <c r="J99" t="n">
        <v>0</v>
      </c>
      <c r="K99" t="n">
        <v>0</v>
      </c>
      <c r="L99" t="n">
        <v>0</v>
      </c>
      <c r="M99" t="n">
        <v>0</v>
      </c>
      <c r="N99" t="n">
        <v>0</v>
      </c>
      <c r="O99" t="n">
        <v>0</v>
      </c>
      <c r="P99" t="n">
        <v>0</v>
      </c>
      <c r="Q99" t="n">
        <v>0</v>
      </c>
      <c r="R99" s="2" t="inlineStr"/>
    </row>
    <row r="100" ht="15" customHeight="1">
      <c r="A100" t="inlineStr">
        <is>
          <t>A 14395-2022</t>
        </is>
      </c>
      <c r="B100" s="1" t="n">
        <v>44652</v>
      </c>
      <c r="C100" s="1" t="n">
        <v>46195</v>
      </c>
      <c r="D100" t="inlineStr">
        <is>
          <t>VÄSTERBOTTENS LÄN</t>
        </is>
      </c>
      <c r="E100" t="inlineStr">
        <is>
          <t>STORUMAN</t>
        </is>
      </c>
      <c r="G100" t="n">
        <v>0.4</v>
      </c>
      <c r="H100" t="n">
        <v>0</v>
      </c>
      <c r="I100" t="n">
        <v>0</v>
      </c>
      <c r="J100" t="n">
        <v>0</v>
      </c>
      <c r="K100" t="n">
        <v>0</v>
      </c>
      <c r="L100" t="n">
        <v>0</v>
      </c>
      <c r="M100" t="n">
        <v>0</v>
      </c>
      <c r="N100" t="n">
        <v>0</v>
      </c>
      <c r="O100" t="n">
        <v>0</v>
      </c>
      <c r="P100" t="n">
        <v>0</v>
      </c>
      <c r="Q100" t="n">
        <v>0</v>
      </c>
      <c r="R100" s="2" t="inlineStr"/>
    </row>
    <row r="101" ht="15" customHeight="1">
      <c r="A101" t="inlineStr">
        <is>
          <t>A 52911-2021</t>
        </is>
      </c>
      <c r="B101" s="1" t="n">
        <v>44466</v>
      </c>
      <c r="C101" s="1" t="n">
        <v>46195</v>
      </c>
      <c r="D101" t="inlineStr">
        <is>
          <t>VÄSTERBOTTENS LÄN</t>
        </is>
      </c>
      <c r="E101" t="inlineStr">
        <is>
          <t>STORUMAN</t>
        </is>
      </c>
      <c r="G101" t="n">
        <v>1.6</v>
      </c>
      <c r="H101" t="n">
        <v>0</v>
      </c>
      <c r="I101" t="n">
        <v>0</v>
      </c>
      <c r="J101" t="n">
        <v>0</v>
      </c>
      <c r="K101" t="n">
        <v>0</v>
      </c>
      <c r="L101" t="n">
        <v>0</v>
      </c>
      <c r="M101" t="n">
        <v>0</v>
      </c>
      <c r="N101" t="n">
        <v>0</v>
      </c>
      <c r="O101" t="n">
        <v>0</v>
      </c>
      <c r="P101" t="n">
        <v>0</v>
      </c>
      <c r="Q101" t="n">
        <v>0</v>
      </c>
      <c r="R101" s="2" t="inlineStr"/>
    </row>
    <row r="102" ht="15" customHeight="1">
      <c r="A102" t="inlineStr">
        <is>
          <t>A 4218-2022</t>
        </is>
      </c>
      <c r="B102" s="1" t="n">
        <v>44588</v>
      </c>
      <c r="C102" s="1" t="n">
        <v>46195</v>
      </c>
      <c r="D102" t="inlineStr">
        <is>
          <t>VÄSTERBOTTENS LÄN</t>
        </is>
      </c>
      <c r="E102" t="inlineStr">
        <is>
          <t>STORUMAN</t>
        </is>
      </c>
      <c r="G102" t="n">
        <v>18.6</v>
      </c>
      <c r="H102" t="n">
        <v>0</v>
      </c>
      <c r="I102" t="n">
        <v>0</v>
      </c>
      <c r="J102" t="n">
        <v>0</v>
      </c>
      <c r="K102" t="n">
        <v>0</v>
      </c>
      <c r="L102" t="n">
        <v>0</v>
      </c>
      <c r="M102" t="n">
        <v>0</v>
      </c>
      <c r="N102" t="n">
        <v>0</v>
      </c>
      <c r="O102" t="n">
        <v>0</v>
      </c>
      <c r="P102" t="n">
        <v>0</v>
      </c>
      <c r="Q102" t="n">
        <v>0</v>
      </c>
      <c r="R102" s="2" t="inlineStr"/>
    </row>
    <row r="103" ht="15" customHeight="1">
      <c r="A103" t="inlineStr">
        <is>
          <t>A 54796-2021</t>
        </is>
      </c>
      <c r="B103" s="1" t="n">
        <v>44473</v>
      </c>
      <c r="C103" s="1" t="n">
        <v>46195</v>
      </c>
      <c r="D103" t="inlineStr">
        <is>
          <t>VÄSTERBOTTENS LÄN</t>
        </is>
      </c>
      <c r="E103" t="inlineStr">
        <is>
          <t>STORUMAN</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17149-2022</t>
        </is>
      </c>
      <c r="B104" s="1" t="n">
        <v>44677</v>
      </c>
      <c r="C104" s="1" t="n">
        <v>46195</v>
      </c>
      <c r="D104" t="inlineStr">
        <is>
          <t>VÄSTERBOTTENS LÄN</t>
        </is>
      </c>
      <c r="E104" t="inlineStr">
        <is>
          <t>STORUMAN</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32459-2022</t>
        </is>
      </c>
      <c r="B105" s="1" t="n">
        <v>44782</v>
      </c>
      <c r="C105" s="1" t="n">
        <v>46195</v>
      </c>
      <c r="D105" t="inlineStr">
        <is>
          <t>VÄSTERBOTTENS LÄN</t>
        </is>
      </c>
      <c r="E105" t="inlineStr">
        <is>
          <t>STORUMAN</t>
        </is>
      </c>
      <c r="G105" t="n">
        <v>1.2</v>
      </c>
      <c r="H105" t="n">
        <v>0</v>
      </c>
      <c r="I105" t="n">
        <v>0</v>
      </c>
      <c r="J105" t="n">
        <v>0</v>
      </c>
      <c r="K105" t="n">
        <v>0</v>
      </c>
      <c r="L105" t="n">
        <v>0</v>
      </c>
      <c r="M105" t="n">
        <v>0</v>
      </c>
      <c r="N105" t="n">
        <v>0</v>
      </c>
      <c r="O105" t="n">
        <v>0</v>
      </c>
      <c r="P105" t="n">
        <v>0</v>
      </c>
      <c r="Q105" t="n">
        <v>0</v>
      </c>
      <c r="R105" s="2" t="inlineStr"/>
    </row>
    <row r="106" ht="15" customHeight="1">
      <c r="A106" t="inlineStr">
        <is>
          <t>A 61431-2021</t>
        </is>
      </c>
      <c r="B106" s="1" t="n">
        <v>44500</v>
      </c>
      <c r="C106" s="1" t="n">
        <v>46195</v>
      </c>
      <c r="D106" t="inlineStr">
        <is>
          <t>VÄSTERBOTTENS LÄN</t>
        </is>
      </c>
      <c r="E106" t="inlineStr">
        <is>
          <t>STORUMAN</t>
        </is>
      </c>
      <c r="F106" t="inlineStr">
        <is>
          <t>SCA</t>
        </is>
      </c>
      <c r="G106" t="n">
        <v>0.2</v>
      </c>
      <c r="H106" t="n">
        <v>0</v>
      </c>
      <c r="I106" t="n">
        <v>0</v>
      </c>
      <c r="J106" t="n">
        <v>0</v>
      </c>
      <c r="K106" t="n">
        <v>0</v>
      </c>
      <c r="L106" t="n">
        <v>0</v>
      </c>
      <c r="M106" t="n">
        <v>0</v>
      </c>
      <c r="N106" t="n">
        <v>0</v>
      </c>
      <c r="O106" t="n">
        <v>0</v>
      </c>
      <c r="P106" t="n">
        <v>0</v>
      </c>
      <c r="Q106" t="n">
        <v>0</v>
      </c>
      <c r="R106" s="2" t="inlineStr"/>
    </row>
    <row r="107" ht="15" customHeight="1">
      <c r="A107" t="inlineStr">
        <is>
          <t>A 28001-2022</t>
        </is>
      </c>
      <c r="B107" s="1" t="n">
        <v>44743</v>
      </c>
      <c r="C107" s="1" t="n">
        <v>46195</v>
      </c>
      <c r="D107" t="inlineStr">
        <is>
          <t>VÄSTERBOTTENS LÄN</t>
        </is>
      </c>
      <c r="E107" t="inlineStr">
        <is>
          <t>STORUMAN</t>
        </is>
      </c>
      <c r="G107" t="n">
        <v>2.3</v>
      </c>
      <c r="H107" t="n">
        <v>0</v>
      </c>
      <c r="I107" t="n">
        <v>0</v>
      </c>
      <c r="J107" t="n">
        <v>0</v>
      </c>
      <c r="K107" t="n">
        <v>0</v>
      </c>
      <c r="L107" t="n">
        <v>0</v>
      </c>
      <c r="M107" t="n">
        <v>0</v>
      </c>
      <c r="N107" t="n">
        <v>0</v>
      </c>
      <c r="O107" t="n">
        <v>0</v>
      </c>
      <c r="P107" t="n">
        <v>0</v>
      </c>
      <c r="Q107" t="n">
        <v>0</v>
      </c>
      <c r="R107" s="2" t="inlineStr"/>
    </row>
    <row r="108" ht="15" customHeight="1">
      <c r="A108" t="inlineStr">
        <is>
          <t>A 55156-2022</t>
        </is>
      </c>
      <c r="B108" s="1" t="n">
        <v>44886</v>
      </c>
      <c r="C108" s="1" t="n">
        <v>46195</v>
      </c>
      <c r="D108" t="inlineStr">
        <is>
          <t>VÄSTERBOTTENS LÄN</t>
        </is>
      </c>
      <c r="E108" t="inlineStr">
        <is>
          <t>STORUMAN</t>
        </is>
      </c>
      <c r="G108" t="n">
        <v>3.5</v>
      </c>
      <c r="H108" t="n">
        <v>0</v>
      </c>
      <c r="I108" t="n">
        <v>0</v>
      </c>
      <c r="J108" t="n">
        <v>0</v>
      </c>
      <c r="K108" t="n">
        <v>0</v>
      </c>
      <c r="L108" t="n">
        <v>0</v>
      </c>
      <c r="M108" t="n">
        <v>0</v>
      </c>
      <c r="N108" t="n">
        <v>0</v>
      </c>
      <c r="O108" t="n">
        <v>0</v>
      </c>
      <c r="P108" t="n">
        <v>0</v>
      </c>
      <c r="Q108" t="n">
        <v>0</v>
      </c>
      <c r="R108" s="2" t="inlineStr"/>
    </row>
    <row r="109" ht="15" customHeight="1">
      <c r="A109" t="inlineStr">
        <is>
          <t>A 40865-2024</t>
        </is>
      </c>
      <c r="B109" s="1" t="n">
        <v>45558</v>
      </c>
      <c r="C109" s="1" t="n">
        <v>46195</v>
      </c>
      <c r="D109" t="inlineStr">
        <is>
          <t>VÄSTERBOTTENS LÄN</t>
        </is>
      </c>
      <c r="E109" t="inlineStr">
        <is>
          <t>STORUMAN</t>
        </is>
      </c>
      <c r="G109" t="n">
        <v>8.5</v>
      </c>
      <c r="H109" t="n">
        <v>0</v>
      </c>
      <c r="I109" t="n">
        <v>0</v>
      </c>
      <c r="J109" t="n">
        <v>0</v>
      </c>
      <c r="K109" t="n">
        <v>0</v>
      </c>
      <c r="L109" t="n">
        <v>0</v>
      </c>
      <c r="M109" t="n">
        <v>0</v>
      </c>
      <c r="N109" t="n">
        <v>0</v>
      </c>
      <c r="O109" t="n">
        <v>0</v>
      </c>
      <c r="P109" t="n">
        <v>0</v>
      </c>
      <c r="Q109" t="n">
        <v>0</v>
      </c>
      <c r="R109" s="2" t="inlineStr"/>
    </row>
    <row r="110" ht="15" customHeight="1">
      <c r="A110" t="inlineStr">
        <is>
          <t>A 16136-2022</t>
        </is>
      </c>
      <c r="B110" s="1" t="n">
        <v>44665</v>
      </c>
      <c r="C110" s="1" t="n">
        <v>46195</v>
      </c>
      <c r="D110" t="inlineStr">
        <is>
          <t>VÄSTERBOTTENS LÄN</t>
        </is>
      </c>
      <c r="E110" t="inlineStr">
        <is>
          <t>STORUMAN</t>
        </is>
      </c>
      <c r="F110" t="inlineStr">
        <is>
          <t>Övriga statliga verk och myndigheter</t>
        </is>
      </c>
      <c r="G110" t="n">
        <v>8.9</v>
      </c>
      <c r="H110" t="n">
        <v>0</v>
      </c>
      <c r="I110" t="n">
        <v>0</v>
      </c>
      <c r="J110" t="n">
        <v>0</v>
      </c>
      <c r="K110" t="n">
        <v>0</v>
      </c>
      <c r="L110" t="n">
        <v>0</v>
      </c>
      <c r="M110" t="n">
        <v>0</v>
      </c>
      <c r="N110" t="n">
        <v>0</v>
      </c>
      <c r="O110" t="n">
        <v>0</v>
      </c>
      <c r="P110" t="n">
        <v>0</v>
      </c>
      <c r="Q110" t="n">
        <v>0</v>
      </c>
      <c r="R110" s="2" t="inlineStr"/>
    </row>
    <row r="111" ht="15" customHeight="1">
      <c r="A111" t="inlineStr">
        <is>
          <t>A 46844-2022</t>
        </is>
      </c>
      <c r="B111" s="1" t="n">
        <v>44851</v>
      </c>
      <c r="C111" s="1" t="n">
        <v>46195</v>
      </c>
      <c r="D111" t="inlineStr">
        <is>
          <t>VÄSTERBOTTENS LÄN</t>
        </is>
      </c>
      <c r="E111" t="inlineStr">
        <is>
          <t>STORUMAN</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42843-2021</t>
        </is>
      </c>
      <c r="B112" s="1" t="n">
        <v>44430</v>
      </c>
      <c r="C112" s="1" t="n">
        <v>46195</v>
      </c>
      <c r="D112" t="inlineStr">
        <is>
          <t>VÄSTERBOTTENS LÄN</t>
        </is>
      </c>
      <c r="E112" t="inlineStr">
        <is>
          <t>STORUMAN</t>
        </is>
      </c>
      <c r="F112" t="inlineStr">
        <is>
          <t>Övriga statliga verk och myndigheter</t>
        </is>
      </c>
      <c r="G112" t="n">
        <v>19.7</v>
      </c>
      <c r="H112" t="n">
        <v>0</v>
      </c>
      <c r="I112" t="n">
        <v>0</v>
      </c>
      <c r="J112" t="n">
        <v>0</v>
      </c>
      <c r="K112" t="n">
        <v>0</v>
      </c>
      <c r="L112" t="n">
        <v>0</v>
      </c>
      <c r="M112" t="n">
        <v>0</v>
      </c>
      <c r="N112" t="n">
        <v>0</v>
      </c>
      <c r="O112" t="n">
        <v>0</v>
      </c>
      <c r="P112" t="n">
        <v>0</v>
      </c>
      <c r="Q112" t="n">
        <v>0</v>
      </c>
      <c r="R112" s="2" t="inlineStr"/>
    </row>
    <row r="113" ht="15" customHeight="1">
      <c r="A113" t="inlineStr">
        <is>
          <t>A 2788-2022</t>
        </is>
      </c>
      <c r="B113" s="1" t="n">
        <v>44580</v>
      </c>
      <c r="C113" s="1" t="n">
        <v>46195</v>
      </c>
      <c r="D113" t="inlineStr">
        <is>
          <t>VÄSTERBOTTENS LÄN</t>
        </is>
      </c>
      <c r="E113" t="inlineStr">
        <is>
          <t>STORUMAN</t>
        </is>
      </c>
      <c r="G113" t="n">
        <v>22</v>
      </c>
      <c r="H113" t="n">
        <v>0</v>
      </c>
      <c r="I113" t="n">
        <v>0</v>
      </c>
      <c r="J113" t="n">
        <v>0</v>
      </c>
      <c r="K113" t="n">
        <v>0</v>
      </c>
      <c r="L113" t="n">
        <v>0</v>
      </c>
      <c r="M113" t="n">
        <v>0</v>
      </c>
      <c r="N113" t="n">
        <v>0</v>
      </c>
      <c r="O113" t="n">
        <v>0</v>
      </c>
      <c r="P113" t="n">
        <v>0</v>
      </c>
      <c r="Q113" t="n">
        <v>0</v>
      </c>
      <c r="R113" s="2" t="inlineStr"/>
    </row>
    <row r="114" ht="15" customHeight="1">
      <c r="A114" t="inlineStr">
        <is>
          <t>A 3354-2022</t>
        </is>
      </c>
      <c r="B114" s="1" t="n">
        <v>44585</v>
      </c>
      <c r="C114" s="1" t="n">
        <v>46195</v>
      </c>
      <c r="D114" t="inlineStr">
        <is>
          <t>VÄSTERBOTTENS LÄN</t>
        </is>
      </c>
      <c r="E114" t="inlineStr">
        <is>
          <t>STORUMAN</t>
        </is>
      </c>
      <c r="G114" t="n">
        <v>2.8</v>
      </c>
      <c r="H114" t="n">
        <v>0</v>
      </c>
      <c r="I114" t="n">
        <v>0</v>
      </c>
      <c r="J114" t="n">
        <v>0</v>
      </c>
      <c r="K114" t="n">
        <v>0</v>
      </c>
      <c r="L114" t="n">
        <v>0</v>
      </c>
      <c r="M114" t="n">
        <v>0</v>
      </c>
      <c r="N114" t="n">
        <v>0</v>
      </c>
      <c r="O114" t="n">
        <v>0</v>
      </c>
      <c r="P114" t="n">
        <v>0</v>
      </c>
      <c r="Q114" t="n">
        <v>0</v>
      </c>
      <c r="R114" s="2" t="inlineStr"/>
    </row>
    <row r="115" ht="15" customHeight="1">
      <c r="A115" t="inlineStr">
        <is>
          <t>A 6760-2023</t>
        </is>
      </c>
      <c r="B115" s="1" t="n">
        <v>44966</v>
      </c>
      <c r="C115" s="1" t="n">
        <v>46195</v>
      </c>
      <c r="D115" t="inlineStr">
        <is>
          <t>VÄSTERBOTTENS LÄN</t>
        </is>
      </c>
      <c r="E115" t="inlineStr">
        <is>
          <t>STORUMAN</t>
        </is>
      </c>
      <c r="F115" t="inlineStr">
        <is>
          <t>Sveaskog</t>
        </is>
      </c>
      <c r="G115" t="n">
        <v>7.1</v>
      </c>
      <c r="H115" t="n">
        <v>0</v>
      </c>
      <c r="I115" t="n">
        <v>0</v>
      </c>
      <c r="J115" t="n">
        <v>0</v>
      </c>
      <c r="K115" t="n">
        <v>0</v>
      </c>
      <c r="L115" t="n">
        <v>0</v>
      </c>
      <c r="M115" t="n">
        <v>0</v>
      </c>
      <c r="N115" t="n">
        <v>0</v>
      </c>
      <c r="O115" t="n">
        <v>0</v>
      </c>
      <c r="P115" t="n">
        <v>0</v>
      </c>
      <c r="Q115" t="n">
        <v>0</v>
      </c>
      <c r="R115" s="2" t="inlineStr"/>
    </row>
    <row r="116" ht="15" customHeight="1">
      <c r="A116" t="inlineStr">
        <is>
          <t>A 50917-2022</t>
        </is>
      </c>
      <c r="B116" s="1" t="n">
        <v>44867</v>
      </c>
      <c r="C116" s="1" t="n">
        <v>46195</v>
      </c>
      <c r="D116" t="inlineStr">
        <is>
          <t>VÄSTERBOTTENS LÄN</t>
        </is>
      </c>
      <c r="E116" t="inlineStr">
        <is>
          <t>STORUMAN</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12002-2022</t>
        </is>
      </c>
      <c r="B117" s="1" t="n">
        <v>44635</v>
      </c>
      <c r="C117" s="1" t="n">
        <v>46195</v>
      </c>
      <c r="D117" t="inlineStr">
        <is>
          <t>VÄSTERBOTTENS LÄN</t>
        </is>
      </c>
      <c r="E117" t="inlineStr">
        <is>
          <t>STORUMAN</t>
        </is>
      </c>
      <c r="G117" t="n">
        <v>1.4</v>
      </c>
      <c r="H117" t="n">
        <v>0</v>
      </c>
      <c r="I117" t="n">
        <v>0</v>
      </c>
      <c r="J117" t="n">
        <v>0</v>
      </c>
      <c r="K117" t="n">
        <v>0</v>
      </c>
      <c r="L117" t="n">
        <v>0</v>
      </c>
      <c r="M117" t="n">
        <v>0</v>
      </c>
      <c r="N117" t="n">
        <v>0</v>
      </c>
      <c r="O117" t="n">
        <v>0</v>
      </c>
      <c r="P117" t="n">
        <v>0</v>
      </c>
      <c r="Q117" t="n">
        <v>0</v>
      </c>
      <c r="R117" s="2" t="inlineStr"/>
    </row>
    <row r="118" ht="15" customHeight="1">
      <c r="A118" t="inlineStr">
        <is>
          <t>A 49084-2022</t>
        </is>
      </c>
      <c r="B118" s="1" t="n">
        <v>44860</v>
      </c>
      <c r="C118" s="1" t="n">
        <v>46195</v>
      </c>
      <c r="D118" t="inlineStr">
        <is>
          <t>VÄSTERBOTTENS LÄN</t>
        </is>
      </c>
      <c r="E118" t="inlineStr">
        <is>
          <t>STORUMAN</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48358-2022</t>
        </is>
      </c>
      <c r="B119" s="1" t="n">
        <v>44858</v>
      </c>
      <c r="C119" s="1" t="n">
        <v>46195</v>
      </c>
      <c r="D119" t="inlineStr">
        <is>
          <t>VÄSTERBOTTENS LÄN</t>
        </is>
      </c>
      <c r="E119" t="inlineStr">
        <is>
          <t>STORUMAN</t>
        </is>
      </c>
      <c r="F119" t="inlineStr">
        <is>
          <t>Sveaskog</t>
        </is>
      </c>
      <c r="G119" t="n">
        <v>5.1</v>
      </c>
      <c r="H119" t="n">
        <v>0</v>
      </c>
      <c r="I119" t="n">
        <v>0</v>
      </c>
      <c r="J119" t="n">
        <v>0</v>
      </c>
      <c r="K119" t="n">
        <v>0</v>
      </c>
      <c r="L119" t="n">
        <v>0</v>
      </c>
      <c r="M119" t="n">
        <v>0</v>
      </c>
      <c r="N119" t="n">
        <v>0</v>
      </c>
      <c r="O119" t="n">
        <v>0</v>
      </c>
      <c r="P119" t="n">
        <v>0</v>
      </c>
      <c r="Q119" t="n">
        <v>0</v>
      </c>
      <c r="R119" s="2" t="inlineStr"/>
    </row>
    <row r="120" ht="15" customHeight="1">
      <c r="A120" t="inlineStr">
        <is>
          <t>A 57107-2023</t>
        </is>
      </c>
      <c r="B120" s="1" t="n">
        <v>45239</v>
      </c>
      <c r="C120" s="1" t="n">
        <v>46195</v>
      </c>
      <c r="D120" t="inlineStr">
        <is>
          <t>VÄSTERBOTTENS LÄN</t>
        </is>
      </c>
      <c r="E120" t="inlineStr">
        <is>
          <t>STORUMAN</t>
        </is>
      </c>
      <c r="G120" t="n">
        <v>29.9</v>
      </c>
      <c r="H120" t="n">
        <v>0</v>
      </c>
      <c r="I120" t="n">
        <v>0</v>
      </c>
      <c r="J120" t="n">
        <v>0</v>
      </c>
      <c r="K120" t="n">
        <v>0</v>
      </c>
      <c r="L120" t="n">
        <v>0</v>
      </c>
      <c r="M120" t="n">
        <v>0</v>
      </c>
      <c r="N120" t="n">
        <v>0</v>
      </c>
      <c r="O120" t="n">
        <v>0</v>
      </c>
      <c r="P120" t="n">
        <v>0</v>
      </c>
      <c r="Q120" t="n">
        <v>0</v>
      </c>
      <c r="R120" s="2" t="inlineStr"/>
    </row>
    <row r="121" ht="15" customHeight="1">
      <c r="A121" t="inlineStr">
        <is>
          <t>A 18846-2023</t>
        </is>
      </c>
      <c r="B121" s="1" t="n">
        <v>45042</v>
      </c>
      <c r="C121" s="1" t="n">
        <v>46195</v>
      </c>
      <c r="D121" t="inlineStr">
        <is>
          <t>VÄSTERBOTTENS LÄN</t>
        </is>
      </c>
      <c r="E121" t="inlineStr">
        <is>
          <t>STORUMAN</t>
        </is>
      </c>
      <c r="G121" t="n">
        <v>17.7</v>
      </c>
      <c r="H121" t="n">
        <v>0</v>
      </c>
      <c r="I121" t="n">
        <v>0</v>
      </c>
      <c r="J121" t="n">
        <v>0</v>
      </c>
      <c r="K121" t="n">
        <v>0</v>
      </c>
      <c r="L121" t="n">
        <v>0</v>
      </c>
      <c r="M121" t="n">
        <v>0</v>
      </c>
      <c r="N121" t="n">
        <v>0</v>
      </c>
      <c r="O121" t="n">
        <v>0</v>
      </c>
      <c r="P121" t="n">
        <v>0</v>
      </c>
      <c r="Q121" t="n">
        <v>0</v>
      </c>
      <c r="R121" s="2" t="inlineStr"/>
    </row>
    <row r="122" ht="15" customHeight="1">
      <c r="A122" t="inlineStr">
        <is>
          <t>A 56297-2023</t>
        </is>
      </c>
      <c r="B122" s="1" t="n">
        <v>45242</v>
      </c>
      <c r="C122" s="1" t="n">
        <v>46195</v>
      </c>
      <c r="D122" t="inlineStr">
        <is>
          <t>VÄSTERBOTTENS LÄN</t>
        </is>
      </c>
      <c r="E122" t="inlineStr">
        <is>
          <t>STORUMAN</t>
        </is>
      </c>
      <c r="G122" t="n">
        <v>2.2</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v>
      </c>
      <c r="C123" s="1" t="n">
        <v>46195</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51334-2023</t>
        </is>
      </c>
      <c r="B124" s="1" t="n">
        <v>45219</v>
      </c>
      <c r="C124" s="1" t="n">
        <v>46195</v>
      </c>
      <c r="D124" t="inlineStr">
        <is>
          <t>VÄSTERBOTTENS LÄN</t>
        </is>
      </c>
      <c r="E124" t="inlineStr">
        <is>
          <t>STORUMAN</t>
        </is>
      </c>
      <c r="G124" t="n">
        <v>0.3</v>
      </c>
      <c r="H124" t="n">
        <v>0</v>
      </c>
      <c r="I124" t="n">
        <v>0</v>
      </c>
      <c r="J124" t="n">
        <v>0</v>
      </c>
      <c r="K124" t="n">
        <v>0</v>
      </c>
      <c r="L124" t="n">
        <v>0</v>
      </c>
      <c r="M124" t="n">
        <v>0</v>
      </c>
      <c r="N124" t="n">
        <v>0</v>
      </c>
      <c r="O124" t="n">
        <v>0</v>
      </c>
      <c r="P124" t="n">
        <v>0</v>
      </c>
      <c r="Q124" t="n">
        <v>0</v>
      </c>
      <c r="R124" s="2" t="inlineStr"/>
    </row>
    <row r="125" ht="15" customHeight="1">
      <c r="A125" t="inlineStr">
        <is>
          <t>A 14661-2023</t>
        </is>
      </c>
      <c r="B125" s="1" t="n">
        <v>45013</v>
      </c>
      <c r="C125" s="1" t="n">
        <v>46195</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30745-2024</t>
        </is>
      </c>
      <c r="B126" s="1" t="n">
        <v>45496</v>
      </c>
      <c r="C126" s="1" t="n">
        <v>46195</v>
      </c>
      <c r="D126" t="inlineStr">
        <is>
          <t>VÄSTERBOTTENS LÄN</t>
        </is>
      </c>
      <c r="E126" t="inlineStr">
        <is>
          <t>STORUMAN</t>
        </is>
      </c>
      <c r="G126" t="n">
        <v>3.7</v>
      </c>
      <c r="H126" t="n">
        <v>0</v>
      </c>
      <c r="I126" t="n">
        <v>0</v>
      </c>
      <c r="J126" t="n">
        <v>0</v>
      </c>
      <c r="K126" t="n">
        <v>0</v>
      </c>
      <c r="L126" t="n">
        <v>0</v>
      </c>
      <c r="M126" t="n">
        <v>0</v>
      </c>
      <c r="N126" t="n">
        <v>0</v>
      </c>
      <c r="O126" t="n">
        <v>0</v>
      </c>
      <c r="P126" t="n">
        <v>0</v>
      </c>
      <c r="Q126" t="n">
        <v>0</v>
      </c>
      <c r="R126" s="2" t="inlineStr"/>
    </row>
    <row r="127" ht="15" customHeight="1">
      <c r="A127" t="inlineStr">
        <is>
          <t>A 33341-2021</t>
        </is>
      </c>
      <c r="B127" s="1" t="n">
        <v>44377</v>
      </c>
      <c r="C127" s="1" t="n">
        <v>46195</v>
      </c>
      <c r="D127" t="inlineStr">
        <is>
          <t>VÄSTERBOTTENS LÄN</t>
        </is>
      </c>
      <c r="E127" t="inlineStr">
        <is>
          <t>STORUMAN</t>
        </is>
      </c>
      <c r="F127" t="inlineStr">
        <is>
          <t>Allmännings- och besparingsskogar</t>
        </is>
      </c>
      <c r="G127" t="n">
        <v>4.5</v>
      </c>
      <c r="H127" t="n">
        <v>0</v>
      </c>
      <c r="I127" t="n">
        <v>0</v>
      </c>
      <c r="J127" t="n">
        <v>0</v>
      </c>
      <c r="K127" t="n">
        <v>0</v>
      </c>
      <c r="L127" t="n">
        <v>0</v>
      </c>
      <c r="M127" t="n">
        <v>0</v>
      </c>
      <c r="N127" t="n">
        <v>0</v>
      </c>
      <c r="O127" t="n">
        <v>0</v>
      </c>
      <c r="P127" t="n">
        <v>0</v>
      </c>
      <c r="Q127" t="n">
        <v>0</v>
      </c>
      <c r="R127" s="2" t="inlineStr"/>
    </row>
    <row r="128" ht="15" customHeight="1">
      <c r="A128" t="inlineStr">
        <is>
          <t>A 11381-2025</t>
        </is>
      </c>
      <c r="B128" s="1" t="n">
        <v>45724</v>
      </c>
      <c r="C128" s="1" t="n">
        <v>46195</v>
      </c>
      <c r="D128" t="inlineStr">
        <is>
          <t>VÄSTERBOTTENS LÄN</t>
        </is>
      </c>
      <c r="E128" t="inlineStr">
        <is>
          <t>STORUMAN</t>
        </is>
      </c>
      <c r="G128" t="n">
        <v>9.800000000000001</v>
      </c>
      <c r="H128" t="n">
        <v>0</v>
      </c>
      <c r="I128" t="n">
        <v>0</v>
      </c>
      <c r="J128" t="n">
        <v>0</v>
      </c>
      <c r="K128" t="n">
        <v>0</v>
      </c>
      <c r="L128" t="n">
        <v>0</v>
      </c>
      <c r="M128" t="n">
        <v>0</v>
      </c>
      <c r="N128" t="n">
        <v>0</v>
      </c>
      <c r="O128" t="n">
        <v>0</v>
      </c>
      <c r="P128" t="n">
        <v>0</v>
      </c>
      <c r="Q128" t="n">
        <v>0</v>
      </c>
      <c r="R128" s="2" t="inlineStr"/>
    </row>
    <row r="129" ht="15" customHeight="1">
      <c r="A129" t="inlineStr">
        <is>
          <t>A 16520-2022</t>
        </is>
      </c>
      <c r="B129" s="1" t="n">
        <v>44671</v>
      </c>
      <c r="C129" s="1" t="n">
        <v>46195</v>
      </c>
      <c r="D129" t="inlineStr">
        <is>
          <t>VÄSTERBOTTENS LÄN</t>
        </is>
      </c>
      <c r="E129" t="inlineStr">
        <is>
          <t>STORUMAN</t>
        </is>
      </c>
      <c r="G129" t="n">
        <v>20.1</v>
      </c>
      <c r="H129" t="n">
        <v>0</v>
      </c>
      <c r="I129" t="n">
        <v>0</v>
      </c>
      <c r="J129" t="n">
        <v>0</v>
      </c>
      <c r="K129" t="n">
        <v>0</v>
      </c>
      <c r="L129" t="n">
        <v>0</v>
      </c>
      <c r="M129" t="n">
        <v>0</v>
      </c>
      <c r="N129" t="n">
        <v>0</v>
      </c>
      <c r="O129" t="n">
        <v>0</v>
      </c>
      <c r="P129" t="n">
        <v>0</v>
      </c>
      <c r="Q129" t="n">
        <v>0</v>
      </c>
      <c r="R129" s="2" t="inlineStr"/>
    </row>
    <row r="130" ht="15" customHeight="1">
      <c r="A130" t="inlineStr">
        <is>
          <t>A 17471-2022</t>
        </is>
      </c>
      <c r="B130" s="1" t="n">
        <v>44679</v>
      </c>
      <c r="C130" s="1" t="n">
        <v>46195</v>
      </c>
      <c r="D130" t="inlineStr">
        <is>
          <t>VÄSTERBOTTENS LÄN</t>
        </is>
      </c>
      <c r="E130" t="inlineStr">
        <is>
          <t>STORUMAN</t>
        </is>
      </c>
      <c r="G130" t="n">
        <v>59.1</v>
      </c>
      <c r="H130" t="n">
        <v>0</v>
      </c>
      <c r="I130" t="n">
        <v>0</v>
      </c>
      <c r="J130" t="n">
        <v>0</v>
      </c>
      <c r="K130" t="n">
        <v>0</v>
      </c>
      <c r="L130" t="n">
        <v>0</v>
      </c>
      <c r="M130" t="n">
        <v>0</v>
      </c>
      <c r="N130" t="n">
        <v>0</v>
      </c>
      <c r="O130" t="n">
        <v>0</v>
      </c>
      <c r="P130" t="n">
        <v>0</v>
      </c>
      <c r="Q130" t="n">
        <v>0</v>
      </c>
      <c r="R130" s="2" t="inlineStr"/>
    </row>
    <row r="131" ht="15" customHeight="1">
      <c r="A131" t="inlineStr">
        <is>
          <t>A 17971-2025</t>
        </is>
      </c>
      <c r="B131" s="1" t="n">
        <v>45761</v>
      </c>
      <c r="C131" s="1" t="n">
        <v>46195</v>
      </c>
      <c r="D131" t="inlineStr">
        <is>
          <t>VÄSTERBOTTENS LÄN</t>
        </is>
      </c>
      <c r="E131" t="inlineStr">
        <is>
          <t>STORUMAN</t>
        </is>
      </c>
      <c r="F131" t="inlineStr">
        <is>
          <t>Allmännings- och besparingsskogar</t>
        </is>
      </c>
      <c r="G131" t="n">
        <v>0.2</v>
      </c>
      <c r="H131" t="n">
        <v>0</v>
      </c>
      <c r="I131" t="n">
        <v>0</v>
      </c>
      <c r="J131" t="n">
        <v>0</v>
      </c>
      <c r="K131" t="n">
        <v>0</v>
      </c>
      <c r="L131" t="n">
        <v>0</v>
      </c>
      <c r="M131" t="n">
        <v>0</v>
      </c>
      <c r="N131" t="n">
        <v>0</v>
      </c>
      <c r="O131" t="n">
        <v>0</v>
      </c>
      <c r="P131" t="n">
        <v>0</v>
      </c>
      <c r="Q131" t="n">
        <v>0</v>
      </c>
      <c r="R131" s="2" t="inlineStr"/>
    </row>
    <row r="132" ht="15" customHeight="1">
      <c r="A132" t="inlineStr">
        <is>
          <t>A 56879-2021</t>
        </is>
      </c>
      <c r="B132" s="1" t="n">
        <v>44481</v>
      </c>
      <c r="C132" s="1" t="n">
        <v>46195</v>
      </c>
      <c r="D132" t="inlineStr">
        <is>
          <t>VÄSTERBOTTENS LÄN</t>
        </is>
      </c>
      <c r="E132" t="inlineStr">
        <is>
          <t>STORUMAN</t>
        </is>
      </c>
      <c r="G132" t="n">
        <v>32.2</v>
      </c>
      <c r="H132" t="n">
        <v>0</v>
      </c>
      <c r="I132" t="n">
        <v>0</v>
      </c>
      <c r="J132" t="n">
        <v>0</v>
      </c>
      <c r="K132" t="n">
        <v>0</v>
      </c>
      <c r="L132" t="n">
        <v>0</v>
      </c>
      <c r="M132" t="n">
        <v>0</v>
      </c>
      <c r="N132" t="n">
        <v>0</v>
      </c>
      <c r="O132" t="n">
        <v>0</v>
      </c>
      <c r="P132" t="n">
        <v>0</v>
      </c>
      <c r="Q132" t="n">
        <v>0</v>
      </c>
      <c r="R132" s="2" t="inlineStr"/>
    </row>
    <row r="133" ht="15" customHeight="1">
      <c r="A133" t="inlineStr">
        <is>
          <t>A 24691-2023</t>
        </is>
      </c>
      <c r="B133" s="1" t="n">
        <v>45077</v>
      </c>
      <c r="C133" s="1" t="n">
        <v>46195</v>
      </c>
      <c r="D133" t="inlineStr">
        <is>
          <t>VÄSTERBOTTENS LÄN</t>
        </is>
      </c>
      <c r="E133" t="inlineStr">
        <is>
          <t>STORUMAN</t>
        </is>
      </c>
      <c r="G133" t="n">
        <v>929</v>
      </c>
      <c r="H133" t="n">
        <v>0</v>
      </c>
      <c r="I133" t="n">
        <v>0</v>
      </c>
      <c r="J133" t="n">
        <v>0</v>
      </c>
      <c r="K133" t="n">
        <v>0</v>
      </c>
      <c r="L133" t="n">
        <v>0</v>
      </c>
      <c r="M133" t="n">
        <v>0</v>
      </c>
      <c r="N133" t="n">
        <v>0</v>
      </c>
      <c r="O133" t="n">
        <v>0</v>
      </c>
      <c r="P133" t="n">
        <v>0</v>
      </c>
      <c r="Q133" t="n">
        <v>0</v>
      </c>
      <c r="R133" s="2" t="inlineStr"/>
    </row>
    <row r="134" ht="15" customHeight="1">
      <c r="A134" t="inlineStr">
        <is>
          <t>A 19413-2024</t>
        </is>
      </c>
      <c r="B134" s="1" t="n">
        <v>45429</v>
      </c>
      <c r="C134" s="1" t="n">
        <v>46195</v>
      </c>
      <c r="D134" t="inlineStr">
        <is>
          <t>VÄSTERBOTTENS LÄN</t>
        </is>
      </c>
      <c r="E134" t="inlineStr">
        <is>
          <t>STORUMAN</t>
        </is>
      </c>
      <c r="G134" t="n">
        <v>16.9</v>
      </c>
      <c r="H134" t="n">
        <v>0</v>
      </c>
      <c r="I134" t="n">
        <v>0</v>
      </c>
      <c r="J134" t="n">
        <v>0</v>
      </c>
      <c r="K134" t="n">
        <v>0</v>
      </c>
      <c r="L134" t="n">
        <v>0</v>
      </c>
      <c r="M134" t="n">
        <v>0</v>
      </c>
      <c r="N134" t="n">
        <v>0</v>
      </c>
      <c r="O134" t="n">
        <v>0</v>
      </c>
      <c r="P134" t="n">
        <v>0</v>
      </c>
      <c r="Q134" t="n">
        <v>0</v>
      </c>
      <c r="R134" s="2" t="inlineStr"/>
    </row>
    <row r="135" ht="15" customHeight="1">
      <c r="A135" t="inlineStr">
        <is>
          <t>A 512-2025</t>
        </is>
      </c>
      <c r="B135" s="1" t="n">
        <v>45660</v>
      </c>
      <c r="C135" s="1" t="n">
        <v>46195</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10203-2024</t>
        </is>
      </c>
      <c r="B136" s="1" t="n">
        <v>45364</v>
      </c>
      <c r="C136" s="1" t="n">
        <v>46195</v>
      </c>
      <c r="D136" t="inlineStr">
        <is>
          <t>VÄSTERBOTTENS LÄN</t>
        </is>
      </c>
      <c r="E136" t="inlineStr">
        <is>
          <t>STORUMAN</t>
        </is>
      </c>
      <c r="G136" t="n">
        <v>6</v>
      </c>
      <c r="H136" t="n">
        <v>0</v>
      </c>
      <c r="I136" t="n">
        <v>0</v>
      </c>
      <c r="J136" t="n">
        <v>0</v>
      </c>
      <c r="K136" t="n">
        <v>0</v>
      </c>
      <c r="L136" t="n">
        <v>0</v>
      </c>
      <c r="M136" t="n">
        <v>0</v>
      </c>
      <c r="N136" t="n">
        <v>0</v>
      </c>
      <c r="O136" t="n">
        <v>0</v>
      </c>
      <c r="P136" t="n">
        <v>0</v>
      </c>
      <c r="Q136" t="n">
        <v>0</v>
      </c>
      <c r="R136" s="2" t="inlineStr"/>
    </row>
    <row r="137" ht="15" customHeight="1">
      <c r="A137" t="inlineStr">
        <is>
          <t>A 10204-2024</t>
        </is>
      </c>
      <c r="B137" s="1" t="n">
        <v>45364</v>
      </c>
      <c r="C137" s="1" t="n">
        <v>46195</v>
      </c>
      <c r="D137" t="inlineStr">
        <is>
          <t>VÄSTERBOTTENS LÄN</t>
        </is>
      </c>
      <c r="E137" t="inlineStr">
        <is>
          <t>STORUMAN</t>
        </is>
      </c>
      <c r="G137" t="n">
        <v>12.3</v>
      </c>
      <c r="H137" t="n">
        <v>0</v>
      </c>
      <c r="I137" t="n">
        <v>0</v>
      </c>
      <c r="J137" t="n">
        <v>0</v>
      </c>
      <c r="K137" t="n">
        <v>0</v>
      </c>
      <c r="L137" t="n">
        <v>0</v>
      </c>
      <c r="M137" t="n">
        <v>0</v>
      </c>
      <c r="N137" t="n">
        <v>0</v>
      </c>
      <c r="O137" t="n">
        <v>0</v>
      </c>
      <c r="P137" t="n">
        <v>0</v>
      </c>
      <c r="Q137" t="n">
        <v>0</v>
      </c>
      <c r="R137" s="2" t="inlineStr"/>
    </row>
    <row r="138" ht="15" customHeight="1">
      <c r="A138" t="inlineStr">
        <is>
          <t>A 33805-2024</t>
        </is>
      </c>
      <c r="B138" s="1" t="n">
        <v>45520</v>
      </c>
      <c r="C138" s="1" t="n">
        <v>46195</v>
      </c>
      <c r="D138" t="inlineStr">
        <is>
          <t>VÄSTERBOTTENS LÄN</t>
        </is>
      </c>
      <c r="E138" t="inlineStr">
        <is>
          <t>STORUMAN</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46195</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59249-2022</t>
        </is>
      </c>
      <c r="B140" s="1" t="n">
        <v>44904</v>
      </c>
      <c r="C140" s="1" t="n">
        <v>46195</v>
      </c>
      <c r="D140" t="inlineStr">
        <is>
          <t>VÄSTERBOTTENS LÄN</t>
        </is>
      </c>
      <c r="E140" t="inlineStr">
        <is>
          <t>STORUMAN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23454-2024</t>
        </is>
      </c>
      <c r="B141" s="1" t="n">
        <v>45453</v>
      </c>
      <c r="C141" s="1" t="n">
        <v>46195</v>
      </c>
      <c r="D141" t="inlineStr">
        <is>
          <t>VÄSTERBOTTENS LÄN</t>
        </is>
      </c>
      <c r="E141" t="inlineStr">
        <is>
          <t>STORUMAN</t>
        </is>
      </c>
      <c r="F141" t="inlineStr">
        <is>
          <t>Sveaskog</t>
        </is>
      </c>
      <c r="G141" t="n">
        <v>26.6</v>
      </c>
      <c r="H141" t="n">
        <v>0</v>
      </c>
      <c r="I141" t="n">
        <v>0</v>
      </c>
      <c r="J141" t="n">
        <v>0</v>
      </c>
      <c r="K141" t="n">
        <v>0</v>
      </c>
      <c r="L141" t="n">
        <v>0</v>
      </c>
      <c r="M141" t="n">
        <v>0</v>
      </c>
      <c r="N141" t="n">
        <v>0</v>
      </c>
      <c r="O141" t="n">
        <v>0</v>
      </c>
      <c r="P141" t="n">
        <v>0</v>
      </c>
      <c r="Q141" t="n">
        <v>0</v>
      </c>
      <c r="R141" s="2" t="inlineStr"/>
    </row>
    <row r="142" ht="15" customHeight="1">
      <c r="A142" t="inlineStr">
        <is>
          <t>A 28061-2022</t>
        </is>
      </c>
      <c r="B142" s="1" t="n">
        <v>44746</v>
      </c>
      <c r="C142" s="1" t="n">
        <v>46195</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39104-2025</t>
        </is>
      </c>
      <c r="B143" s="1" t="n">
        <v>45888</v>
      </c>
      <c r="C143" s="1" t="n">
        <v>46195</v>
      </c>
      <c r="D143" t="inlineStr">
        <is>
          <t>VÄSTERBOTTENS LÄN</t>
        </is>
      </c>
      <c r="E143" t="inlineStr">
        <is>
          <t>STORUMAN</t>
        </is>
      </c>
      <c r="G143" t="n">
        <v>4</v>
      </c>
      <c r="H143" t="n">
        <v>0</v>
      </c>
      <c r="I143" t="n">
        <v>0</v>
      </c>
      <c r="J143" t="n">
        <v>0</v>
      </c>
      <c r="K143" t="n">
        <v>0</v>
      </c>
      <c r="L143" t="n">
        <v>0</v>
      </c>
      <c r="M143" t="n">
        <v>0</v>
      </c>
      <c r="N143" t="n">
        <v>0</v>
      </c>
      <c r="O143" t="n">
        <v>0</v>
      </c>
      <c r="P143" t="n">
        <v>0</v>
      </c>
      <c r="Q143" t="n">
        <v>0</v>
      </c>
      <c r="R143" s="2" t="inlineStr"/>
    </row>
    <row r="144" ht="15" customHeight="1">
      <c r="A144" t="inlineStr">
        <is>
          <t>A 56296-2023</t>
        </is>
      </c>
      <c r="B144" s="1" t="n">
        <v>45242</v>
      </c>
      <c r="C144" s="1" t="n">
        <v>46195</v>
      </c>
      <c r="D144" t="inlineStr">
        <is>
          <t>VÄSTERBOTTENS LÄN</t>
        </is>
      </c>
      <c r="E144" t="inlineStr">
        <is>
          <t>STORUMAN</t>
        </is>
      </c>
      <c r="G144" t="n">
        <v>3.1</v>
      </c>
      <c r="H144" t="n">
        <v>0</v>
      </c>
      <c r="I144" t="n">
        <v>0</v>
      </c>
      <c r="J144" t="n">
        <v>0</v>
      </c>
      <c r="K144" t="n">
        <v>0</v>
      </c>
      <c r="L144" t="n">
        <v>0</v>
      </c>
      <c r="M144" t="n">
        <v>0</v>
      </c>
      <c r="N144" t="n">
        <v>0</v>
      </c>
      <c r="O144" t="n">
        <v>0</v>
      </c>
      <c r="P144" t="n">
        <v>0</v>
      </c>
      <c r="Q144" t="n">
        <v>0</v>
      </c>
      <c r="R144" s="2" t="inlineStr"/>
    </row>
    <row r="145" ht="15" customHeight="1">
      <c r="A145" t="inlineStr">
        <is>
          <t>A 25968-2024</t>
        </is>
      </c>
      <c r="B145" s="1" t="n">
        <v>45467</v>
      </c>
      <c r="C145" s="1" t="n">
        <v>46195</v>
      </c>
      <c r="D145" t="inlineStr">
        <is>
          <t>VÄSTERBOTTENS LÄN</t>
        </is>
      </c>
      <c r="E145" t="inlineStr">
        <is>
          <t>STORUMAN</t>
        </is>
      </c>
      <c r="F145" t="inlineStr">
        <is>
          <t>Sveaskog</t>
        </is>
      </c>
      <c r="G145" t="n">
        <v>5.9</v>
      </c>
      <c r="H145" t="n">
        <v>0</v>
      </c>
      <c r="I145" t="n">
        <v>0</v>
      </c>
      <c r="J145" t="n">
        <v>0</v>
      </c>
      <c r="K145" t="n">
        <v>0</v>
      </c>
      <c r="L145" t="n">
        <v>0</v>
      </c>
      <c r="M145" t="n">
        <v>0</v>
      </c>
      <c r="N145" t="n">
        <v>0</v>
      </c>
      <c r="O145" t="n">
        <v>0</v>
      </c>
      <c r="P145" t="n">
        <v>0</v>
      </c>
      <c r="Q145" t="n">
        <v>0</v>
      </c>
      <c r="R145" s="2" t="inlineStr"/>
    </row>
    <row r="146" ht="15" customHeight="1">
      <c r="A146" t="inlineStr">
        <is>
          <t>A 62624-2023</t>
        </is>
      </c>
      <c r="B146" s="1" t="n">
        <v>45271</v>
      </c>
      <c r="C146" s="1" t="n">
        <v>46195</v>
      </c>
      <c r="D146" t="inlineStr">
        <is>
          <t>VÄSTERBOTTENS LÄN</t>
        </is>
      </c>
      <c r="E146" t="inlineStr">
        <is>
          <t>STORUMAN</t>
        </is>
      </c>
      <c r="G146" t="n">
        <v>7.7</v>
      </c>
      <c r="H146" t="n">
        <v>0</v>
      </c>
      <c r="I146" t="n">
        <v>0</v>
      </c>
      <c r="J146" t="n">
        <v>0</v>
      </c>
      <c r="K146" t="n">
        <v>0</v>
      </c>
      <c r="L146" t="n">
        <v>0</v>
      </c>
      <c r="M146" t="n">
        <v>0</v>
      </c>
      <c r="N146" t="n">
        <v>0</v>
      </c>
      <c r="O146" t="n">
        <v>0</v>
      </c>
      <c r="P146" t="n">
        <v>0</v>
      </c>
      <c r="Q146" t="n">
        <v>0</v>
      </c>
      <c r="R146" s="2" t="inlineStr"/>
    </row>
    <row r="147" ht="15" customHeight="1">
      <c r="A147" t="inlineStr">
        <is>
          <t>A 52552-2024</t>
        </is>
      </c>
      <c r="B147" s="1" t="n">
        <v>45609</v>
      </c>
      <c r="C147" s="1" t="n">
        <v>46195</v>
      </c>
      <c r="D147" t="inlineStr">
        <is>
          <t>VÄSTERBOTTENS LÄN</t>
        </is>
      </c>
      <c r="E147" t="inlineStr">
        <is>
          <t>STORUMAN</t>
        </is>
      </c>
      <c r="F147" t="inlineStr">
        <is>
          <t>Sveaskog</t>
        </is>
      </c>
      <c r="G147" t="n">
        <v>6.6</v>
      </c>
      <c r="H147" t="n">
        <v>0</v>
      </c>
      <c r="I147" t="n">
        <v>0</v>
      </c>
      <c r="J147" t="n">
        <v>0</v>
      </c>
      <c r="K147" t="n">
        <v>0</v>
      </c>
      <c r="L147" t="n">
        <v>0</v>
      </c>
      <c r="M147" t="n">
        <v>0</v>
      </c>
      <c r="N147" t="n">
        <v>0</v>
      </c>
      <c r="O147" t="n">
        <v>0</v>
      </c>
      <c r="P147" t="n">
        <v>0</v>
      </c>
      <c r="Q147" t="n">
        <v>0</v>
      </c>
      <c r="R147" s="2" t="inlineStr"/>
    </row>
    <row r="148" ht="15" customHeight="1">
      <c r="A148" t="inlineStr">
        <is>
          <t>A 46363-2024</t>
        </is>
      </c>
      <c r="B148" s="1" t="n">
        <v>45582</v>
      </c>
      <c r="C148" s="1" t="n">
        <v>46195</v>
      </c>
      <c r="D148" t="inlineStr">
        <is>
          <t>VÄSTERBOTTENS LÄN</t>
        </is>
      </c>
      <c r="E148" t="inlineStr">
        <is>
          <t>STORUMAN</t>
        </is>
      </c>
      <c r="G148" t="n">
        <v>5</v>
      </c>
      <c r="H148" t="n">
        <v>0</v>
      </c>
      <c r="I148" t="n">
        <v>0</v>
      </c>
      <c r="J148" t="n">
        <v>0</v>
      </c>
      <c r="K148" t="n">
        <v>0</v>
      </c>
      <c r="L148" t="n">
        <v>0</v>
      </c>
      <c r="M148" t="n">
        <v>0</v>
      </c>
      <c r="N148" t="n">
        <v>0</v>
      </c>
      <c r="O148" t="n">
        <v>0</v>
      </c>
      <c r="P148" t="n">
        <v>0</v>
      </c>
      <c r="Q148" t="n">
        <v>0</v>
      </c>
      <c r="R148" s="2" t="inlineStr"/>
    </row>
    <row r="149" ht="15" customHeight="1">
      <c r="A149" t="inlineStr">
        <is>
          <t>A 60854-2023</t>
        </is>
      </c>
      <c r="B149" s="1" t="n">
        <v>45260</v>
      </c>
      <c r="C149" s="1" t="n">
        <v>46195</v>
      </c>
      <c r="D149" t="inlineStr">
        <is>
          <t>VÄSTERBOTTENS LÄN</t>
        </is>
      </c>
      <c r="E149" t="inlineStr">
        <is>
          <t>STORUMAN</t>
        </is>
      </c>
      <c r="G149" t="n">
        <v>8.1</v>
      </c>
      <c r="H149" t="n">
        <v>0</v>
      </c>
      <c r="I149" t="n">
        <v>0</v>
      </c>
      <c r="J149" t="n">
        <v>0</v>
      </c>
      <c r="K149" t="n">
        <v>0</v>
      </c>
      <c r="L149" t="n">
        <v>0</v>
      </c>
      <c r="M149" t="n">
        <v>0</v>
      </c>
      <c r="N149" t="n">
        <v>0</v>
      </c>
      <c r="O149" t="n">
        <v>0</v>
      </c>
      <c r="P149" t="n">
        <v>0</v>
      </c>
      <c r="Q149" t="n">
        <v>0</v>
      </c>
      <c r="R149" s="2" t="inlineStr"/>
    </row>
    <row r="150" ht="15" customHeight="1">
      <c r="A150" t="inlineStr">
        <is>
          <t>A 56713-2023</t>
        </is>
      </c>
      <c r="B150" s="1" t="n">
        <v>45238</v>
      </c>
      <c r="C150" s="1" t="n">
        <v>46195</v>
      </c>
      <c r="D150" t="inlineStr">
        <is>
          <t>VÄSTERBOTTENS LÄN</t>
        </is>
      </c>
      <c r="E150" t="inlineStr">
        <is>
          <t>STORUMAN</t>
        </is>
      </c>
      <c r="G150" t="n">
        <v>3.5</v>
      </c>
      <c r="H150" t="n">
        <v>0</v>
      </c>
      <c r="I150" t="n">
        <v>0</v>
      </c>
      <c r="J150" t="n">
        <v>0</v>
      </c>
      <c r="K150" t="n">
        <v>0</v>
      </c>
      <c r="L150" t="n">
        <v>0</v>
      </c>
      <c r="M150" t="n">
        <v>0</v>
      </c>
      <c r="N150" t="n">
        <v>0</v>
      </c>
      <c r="O150" t="n">
        <v>0</v>
      </c>
      <c r="P150" t="n">
        <v>0</v>
      </c>
      <c r="Q150" t="n">
        <v>0</v>
      </c>
      <c r="R150" s="2" t="inlineStr"/>
    </row>
    <row r="151" ht="15" customHeight="1">
      <c r="A151" t="inlineStr">
        <is>
          <t>A 39260-2022</t>
        </is>
      </c>
      <c r="B151" s="1" t="n">
        <v>44817</v>
      </c>
      <c r="C151" s="1" t="n">
        <v>46195</v>
      </c>
      <c r="D151" t="inlineStr">
        <is>
          <t>VÄSTERBOTTENS LÄN</t>
        </is>
      </c>
      <c r="E151" t="inlineStr">
        <is>
          <t>STORUMAN</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6549-2023</t>
        </is>
      </c>
      <c r="B152" s="1" t="n">
        <v>44966</v>
      </c>
      <c r="C152" s="1" t="n">
        <v>46195</v>
      </c>
      <c r="D152" t="inlineStr">
        <is>
          <t>VÄSTERBOTTENS LÄN</t>
        </is>
      </c>
      <c r="E152" t="inlineStr">
        <is>
          <t>STORUMAN</t>
        </is>
      </c>
      <c r="G152" t="n">
        <v>7.3</v>
      </c>
      <c r="H152" t="n">
        <v>0</v>
      </c>
      <c r="I152" t="n">
        <v>0</v>
      </c>
      <c r="J152" t="n">
        <v>0</v>
      </c>
      <c r="K152" t="n">
        <v>0</v>
      </c>
      <c r="L152" t="n">
        <v>0</v>
      </c>
      <c r="M152" t="n">
        <v>0</v>
      </c>
      <c r="N152" t="n">
        <v>0</v>
      </c>
      <c r="O152" t="n">
        <v>0</v>
      </c>
      <c r="P152" t="n">
        <v>0</v>
      </c>
      <c r="Q152" t="n">
        <v>0</v>
      </c>
      <c r="R152" s="2" t="inlineStr"/>
    </row>
    <row r="153" ht="15" customHeight="1">
      <c r="A153" t="inlineStr">
        <is>
          <t>A 46362-2024</t>
        </is>
      </c>
      <c r="B153" s="1" t="n">
        <v>45582</v>
      </c>
      <c r="C153" s="1" t="n">
        <v>46195</v>
      </c>
      <c r="D153" t="inlineStr">
        <is>
          <t>VÄSTERBOTTENS LÄN</t>
        </is>
      </c>
      <c r="E153" t="inlineStr">
        <is>
          <t>STORUMAN</t>
        </is>
      </c>
      <c r="G153" t="n">
        <v>12.5</v>
      </c>
      <c r="H153" t="n">
        <v>0</v>
      </c>
      <c r="I153" t="n">
        <v>0</v>
      </c>
      <c r="J153" t="n">
        <v>0</v>
      </c>
      <c r="K153" t="n">
        <v>0</v>
      </c>
      <c r="L153" t="n">
        <v>0</v>
      </c>
      <c r="M153" t="n">
        <v>0</v>
      </c>
      <c r="N153" t="n">
        <v>0</v>
      </c>
      <c r="O153" t="n">
        <v>0</v>
      </c>
      <c r="P153" t="n">
        <v>0</v>
      </c>
      <c r="Q153" t="n">
        <v>0</v>
      </c>
      <c r="R153" s="2" t="inlineStr"/>
    </row>
    <row r="154" ht="15" customHeight="1">
      <c r="A154" t="inlineStr">
        <is>
          <t>A 12359-2023</t>
        </is>
      </c>
      <c r="B154" s="1" t="n">
        <v>44995</v>
      </c>
      <c r="C154" s="1" t="n">
        <v>46195</v>
      </c>
      <c r="D154" t="inlineStr">
        <is>
          <t>VÄSTERBOTTENS LÄN</t>
        </is>
      </c>
      <c r="E154" t="inlineStr">
        <is>
          <t>STORUMAN</t>
        </is>
      </c>
      <c r="F154" t="inlineStr">
        <is>
          <t>Allmännings- och besparingsskogar</t>
        </is>
      </c>
      <c r="G154" t="n">
        <v>449.4</v>
      </c>
      <c r="H154" t="n">
        <v>0</v>
      </c>
      <c r="I154" t="n">
        <v>0</v>
      </c>
      <c r="J154" t="n">
        <v>0</v>
      </c>
      <c r="K154" t="n">
        <v>0</v>
      </c>
      <c r="L154" t="n">
        <v>0</v>
      </c>
      <c r="M154" t="n">
        <v>0</v>
      </c>
      <c r="N154" t="n">
        <v>0</v>
      </c>
      <c r="O154" t="n">
        <v>0</v>
      </c>
      <c r="P154" t="n">
        <v>0</v>
      </c>
      <c r="Q154" t="n">
        <v>0</v>
      </c>
      <c r="R154" s="2" t="inlineStr"/>
    </row>
    <row r="155" ht="15" customHeight="1">
      <c r="A155" t="inlineStr">
        <is>
          <t>A 28019-2023</t>
        </is>
      </c>
      <c r="B155" s="1" t="n">
        <v>45098</v>
      </c>
      <c r="C155" s="1" t="n">
        <v>46195</v>
      </c>
      <c r="D155" t="inlineStr">
        <is>
          <t>VÄSTERBOTTENS LÄN</t>
        </is>
      </c>
      <c r="E155" t="inlineStr">
        <is>
          <t>STORUMAN</t>
        </is>
      </c>
      <c r="G155" t="n">
        <v>11.4</v>
      </c>
      <c r="H155" t="n">
        <v>0</v>
      </c>
      <c r="I155" t="n">
        <v>0</v>
      </c>
      <c r="J155" t="n">
        <v>0</v>
      </c>
      <c r="K155" t="n">
        <v>0</v>
      </c>
      <c r="L155" t="n">
        <v>0</v>
      </c>
      <c r="M155" t="n">
        <v>0</v>
      </c>
      <c r="N155" t="n">
        <v>0</v>
      </c>
      <c r="O155" t="n">
        <v>0</v>
      </c>
      <c r="P155" t="n">
        <v>0</v>
      </c>
      <c r="Q155" t="n">
        <v>0</v>
      </c>
      <c r="R155" s="2" t="inlineStr"/>
    </row>
    <row r="156" ht="15" customHeight="1">
      <c r="A156" t="inlineStr">
        <is>
          <t>A 27552-2024</t>
        </is>
      </c>
      <c r="B156" s="1" t="n">
        <v>45474</v>
      </c>
      <c r="C156" s="1" t="n">
        <v>46195</v>
      </c>
      <c r="D156" t="inlineStr">
        <is>
          <t>VÄSTERBOTTENS LÄN</t>
        </is>
      </c>
      <c r="E156" t="inlineStr">
        <is>
          <t>STORUMAN</t>
        </is>
      </c>
      <c r="F156" t="inlineStr">
        <is>
          <t>Sveaskog</t>
        </is>
      </c>
      <c r="G156" t="n">
        <v>8</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v>
      </c>
      <c r="C157" s="1" t="n">
        <v>46195</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v>
      </c>
      <c r="C158" s="1" t="n">
        <v>46195</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56517-2021</t>
        </is>
      </c>
      <c r="B159" s="1" t="n">
        <v>44480</v>
      </c>
      <c r="C159" s="1" t="n">
        <v>46195</v>
      </c>
      <c r="D159" t="inlineStr">
        <is>
          <t>VÄSTERBOTTENS LÄN</t>
        </is>
      </c>
      <c r="E159" t="inlineStr">
        <is>
          <t>STORUMAN</t>
        </is>
      </c>
      <c r="G159" t="n">
        <v>9.9</v>
      </c>
      <c r="H159" t="n">
        <v>0</v>
      </c>
      <c r="I159" t="n">
        <v>0</v>
      </c>
      <c r="J159" t="n">
        <v>0</v>
      </c>
      <c r="K159" t="n">
        <v>0</v>
      </c>
      <c r="L159" t="n">
        <v>0</v>
      </c>
      <c r="M159" t="n">
        <v>0</v>
      </c>
      <c r="N159" t="n">
        <v>0</v>
      </c>
      <c r="O159" t="n">
        <v>0</v>
      </c>
      <c r="P159" t="n">
        <v>0</v>
      </c>
      <c r="Q159" t="n">
        <v>0</v>
      </c>
      <c r="R159" s="2" t="inlineStr"/>
    </row>
    <row r="160" ht="15" customHeight="1">
      <c r="A160" t="inlineStr">
        <is>
          <t>A 56530-2021</t>
        </is>
      </c>
      <c r="B160" s="1" t="n">
        <v>44480</v>
      </c>
      <c r="C160" s="1" t="n">
        <v>46195</v>
      </c>
      <c r="D160" t="inlineStr">
        <is>
          <t>VÄSTERBOTTENS LÄN</t>
        </is>
      </c>
      <c r="E160" t="inlineStr">
        <is>
          <t>STORUMAN</t>
        </is>
      </c>
      <c r="G160" t="n">
        <v>32</v>
      </c>
      <c r="H160" t="n">
        <v>0</v>
      </c>
      <c r="I160" t="n">
        <v>0</v>
      </c>
      <c r="J160" t="n">
        <v>0</v>
      </c>
      <c r="K160" t="n">
        <v>0</v>
      </c>
      <c r="L160" t="n">
        <v>0</v>
      </c>
      <c r="M160" t="n">
        <v>0</v>
      </c>
      <c r="N160" t="n">
        <v>0</v>
      </c>
      <c r="O160" t="n">
        <v>0</v>
      </c>
      <c r="P160" t="n">
        <v>0</v>
      </c>
      <c r="Q160" t="n">
        <v>0</v>
      </c>
      <c r="R160" s="2" t="inlineStr"/>
    </row>
    <row r="161" ht="15" customHeight="1">
      <c r="A161" t="inlineStr">
        <is>
          <t>A 48654-2024</t>
        </is>
      </c>
      <c r="B161" s="1" t="n">
        <v>45593</v>
      </c>
      <c r="C161" s="1" t="n">
        <v>46195</v>
      </c>
      <c r="D161" t="inlineStr">
        <is>
          <t>VÄSTERBOTTENS LÄN</t>
        </is>
      </c>
      <c r="E161" t="inlineStr">
        <is>
          <t>STORUMAN</t>
        </is>
      </c>
      <c r="F161" t="inlineStr">
        <is>
          <t>Allmännings- och besparingsskogar</t>
        </is>
      </c>
      <c r="G161" t="n">
        <v>30.9</v>
      </c>
      <c r="H161" t="n">
        <v>0</v>
      </c>
      <c r="I161" t="n">
        <v>0</v>
      </c>
      <c r="J161" t="n">
        <v>0</v>
      </c>
      <c r="K161" t="n">
        <v>0</v>
      </c>
      <c r="L161" t="n">
        <v>0</v>
      </c>
      <c r="M161" t="n">
        <v>0</v>
      </c>
      <c r="N161" t="n">
        <v>0</v>
      </c>
      <c r="O161" t="n">
        <v>0</v>
      </c>
      <c r="P161" t="n">
        <v>0</v>
      </c>
      <c r="Q161" t="n">
        <v>0</v>
      </c>
      <c r="R161" s="2" t="inlineStr"/>
    </row>
    <row r="162" ht="15" customHeight="1">
      <c r="A162" t="inlineStr">
        <is>
          <t>A 24956-2024</t>
        </is>
      </c>
      <c r="B162" s="1" t="n">
        <v>45461</v>
      </c>
      <c r="C162" s="1" t="n">
        <v>46195</v>
      </c>
      <c r="D162" t="inlineStr">
        <is>
          <t>VÄSTERBOTTENS LÄN</t>
        </is>
      </c>
      <c r="E162" t="inlineStr">
        <is>
          <t>STORUMAN</t>
        </is>
      </c>
      <c r="G162" t="n">
        <v>3.4</v>
      </c>
      <c r="H162" t="n">
        <v>0</v>
      </c>
      <c r="I162" t="n">
        <v>0</v>
      </c>
      <c r="J162" t="n">
        <v>0</v>
      </c>
      <c r="K162" t="n">
        <v>0</v>
      </c>
      <c r="L162" t="n">
        <v>0</v>
      </c>
      <c r="M162" t="n">
        <v>0</v>
      </c>
      <c r="N162" t="n">
        <v>0</v>
      </c>
      <c r="O162" t="n">
        <v>0</v>
      </c>
      <c r="P162" t="n">
        <v>0</v>
      </c>
      <c r="Q162" t="n">
        <v>0</v>
      </c>
      <c r="R162" s="2" t="inlineStr"/>
    </row>
    <row r="163" ht="15" customHeight="1">
      <c r="A163" t="inlineStr">
        <is>
          <t>A 3040-2022</t>
        </is>
      </c>
      <c r="B163" s="1" t="n">
        <v>44581</v>
      </c>
      <c r="C163" s="1" t="n">
        <v>46195</v>
      </c>
      <c r="D163" t="inlineStr">
        <is>
          <t>VÄSTERBOTTENS LÄN</t>
        </is>
      </c>
      <c r="E163" t="inlineStr">
        <is>
          <t>STORUMAN</t>
        </is>
      </c>
      <c r="G163" t="n">
        <v>14.2</v>
      </c>
      <c r="H163" t="n">
        <v>0</v>
      </c>
      <c r="I163" t="n">
        <v>0</v>
      </c>
      <c r="J163" t="n">
        <v>0</v>
      </c>
      <c r="K163" t="n">
        <v>0</v>
      </c>
      <c r="L163" t="n">
        <v>0</v>
      </c>
      <c r="M163" t="n">
        <v>0</v>
      </c>
      <c r="N163" t="n">
        <v>0</v>
      </c>
      <c r="O163" t="n">
        <v>0</v>
      </c>
      <c r="P163" t="n">
        <v>0</v>
      </c>
      <c r="Q163" t="n">
        <v>0</v>
      </c>
      <c r="R163" s="2" t="inlineStr"/>
    </row>
    <row r="164" ht="15" customHeight="1">
      <c r="A164" t="inlineStr">
        <is>
          <t>A 72289-2021</t>
        </is>
      </c>
      <c r="B164" s="1" t="n">
        <v>44543</v>
      </c>
      <c r="C164" s="1" t="n">
        <v>46195</v>
      </c>
      <c r="D164" t="inlineStr">
        <is>
          <t>VÄSTERBOTTENS LÄN</t>
        </is>
      </c>
      <c r="E164" t="inlineStr">
        <is>
          <t>STORUMAN</t>
        </is>
      </c>
      <c r="G164" t="n">
        <v>19.7</v>
      </c>
      <c r="H164" t="n">
        <v>0</v>
      </c>
      <c r="I164" t="n">
        <v>0</v>
      </c>
      <c r="J164" t="n">
        <v>0</v>
      </c>
      <c r="K164" t="n">
        <v>0</v>
      </c>
      <c r="L164" t="n">
        <v>0</v>
      </c>
      <c r="M164" t="n">
        <v>0</v>
      </c>
      <c r="N164" t="n">
        <v>0</v>
      </c>
      <c r="O164" t="n">
        <v>0</v>
      </c>
      <c r="P164" t="n">
        <v>0</v>
      </c>
      <c r="Q164" t="n">
        <v>0</v>
      </c>
      <c r="R164" s="2" t="inlineStr"/>
    </row>
    <row r="165" ht="15" customHeight="1">
      <c r="A165" t="inlineStr">
        <is>
          <t>A 6758-2023</t>
        </is>
      </c>
      <c r="B165" s="1" t="n">
        <v>44966</v>
      </c>
      <c r="C165" s="1" t="n">
        <v>46195</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22319-2022</t>
        </is>
      </c>
      <c r="B166" s="1" t="n">
        <v>44712</v>
      </c>
      <c r="C166" s="1" t="n">
        <v>46195</v>
      </c>
      <c r="D166" t="inlineStr">
        <is>
          <t>VÄSTERBOTTENS LÄN</t>
        </is>
      </c>
      <c r="E166" t="inlineStr">
        <is>
          <t>STORUMAN</t>
        </is>
      </c>
      <c r="G166" t="n">
        <v>3.4</v>
      </c>
      <c r="H166" t="n">
        <v>0</v>
      </c>
      <c r="I166" t="n">
        <v>0</v>
      </c>
      <c r="J166" t="n">
        <v>0</v>
      </c>
      <c r="K166" t="n">
        <v>0</v>
      </c>
      <c r="L166" t="n">
        <v>0</v>
      </c>
      <c r="M166" t="n">
        <v>0</v>
      </c>
      <c r="N166" t="n">
        <v>0</v>
      </c>
      <c r="O166" t="n">
        <v>0</v>
      </c>
      <c r="P166" t="n">
        <v>0</v>
      </c>
      <c r="Q166" t="n">
        <v>0</v>
      </c>
      <c r="R166" s="2" t="inlineStr"/>
    </row>
    <row r="167" ht="15" customHeight="1">
      <c r="A167" t="inlineStr">
        <is>
          <t>A 5500-2022</t>
        </is>
      </c>
      <c r="B167" s="1" t="n">
        <v>44595</v>
      </c>
      <c r="C167" s="1" t="n">
        <v>46195</v>
      </c>
      <c r="D167" t="inlineStr">
        <is>
          <t>VÄSTERBOTTENS LÄN</t>
        </is>
      </c>
      <c r="E167" t="inlineStr">
        <is>
          <t>STORUMAN</t>
        </is>
      </c>
      <c r="G167" t="n">
        <v>5.8</v>
      </c>
      <c r="H167" t="n">
        <v>0</v>
      </c>
      <c r="I167" t="n">
        <v>0</v>
      </c>
      <c r="J167" t="n">
        <v>0</v>
      </c>
      <c r="K167" t="n">
        <v>0</v>
      </c>
      <c r="L167" t="n">
        <v>0</v>
      </c>
      <c r="M167" t="n">
        <v>0</v>
      </c>
      <c r="N167" t="n">
        <v>0</v>
      </c>
      <c r="O167" t="n">
        <v>0</v>
      </c>
      <c r="P167" t="n">
        <v>0</v>
      </c>
      <c r="Q167" t="n">
        <v>0</v>
      </c>
      <c r="R167" s="2" t="inlineStr"/>
    </row>
    <row r="168" ht="15" customHeight="1">
      <c r="A168" t="inlineStr">
        <is>
          <t>A 36713-2024</t>
        </is>
      </c>
      <c r="B168" s="1" t="n">
        <v>45537</v>
      </c>
      <c r="C168" s="1" t="n">
        <v>46195</v>
      </c>
      <c r="D168" t="inlineStr">
        <is>
          <t>VÄSTERBOTTENS LÄN</t>
        </is>
      </c>
      <c r="E168" t="inlineStr">
        <is>
          <t>STORUMAN</t>
        </is>
      </c>
      <c r="F168" t="inlineStr">
        <is>
          <t>Holmen skog AB</t>
        </is>
      </c>
      <c r="G168" t="n">
        <v>10.3</v>
      </c>
      <c r="H168" t="n">
        <v>0</v>
      </c>
      <c r="I168" t="n">
        <v>0</v>
      </c>
      <c r="J168" t="n">
        <v>0</v>
      </c>
      <c r="K168" t="n">
        <v>0</v>
      </c>
      <c r="L168" t="n">
        <v>0</v>
      </c>
      <c r="M168" t="n">
        <v>0</v>
      </c>
      <c r="N168" t="n">
        <v>0</v>
      </c>
      <c r="O168" t="n">
        <v>0</v>
      </c>
      <c r="P168" t="n">
        <v>0</v>
      </c>
      <c r="Q168" t="n">
        <v>0</v>
      </c>
      <c r="R168" s="2" t="inlineStr"/>
    </row>
    <row r="169" ht="15" customHeight="1">
      <c r="A169" t="inlineStr">
        <is>
          <t>A 72276-2021</t>
        </is>
      </c>
      <c r="B169" s="1" t="n">
        <v>44543</v>
      </c>
      <c r="C169" s="1" t="n">
        <v>46195</v>
      </c>
      <c r="D169" t="inlineStr">
        <is>
          <t>VÄSTERBOTTENS LÄN</t>
        </is>
      </c>
      <c r="E169" t="inlineStr">
        <is>
          <t>STORUMAN</t>
        </is>
      </c>
      <c r="G169" t="n">
        <v>19.8</v>
      </c>
      <c r="H169" t="n">
        <v>0</v>
      </c>
      <c r="I169" t="n">
        <v>0</v>
      </c>
      <c r="J169" t="n">
        <v>0</v>
      </c>
      <c r="K169" t="n">
        <v>0</v>
      </c>
      <c r="L169" t="n">
        <v>0</v>
      </c>
      <c r="M169" t="n">
        <v>0</v>
      </c>
      <c r="N169" t="n">
        <v>0</v>
      </c>
      <c r="O169" t="n">
        <v>0</v>
      </c>
      <c r="P169" t="n">
        <v>0</v>
      </c>
      <c r="Q169" t="n">
        <v>0</v>
      </c>
      <c r="R169" s="2" t="inlineStr"/>
    </row>
    <row r="170" ht="15" customHeight="1">
      <c r="A170" t="inlineStr">
        <is>
          <t>A 43855-2024</t>
        </is>
      </c>
      <c r="B170" s="1" t="n">
        <v>45572</v>
      </c>
      <c r="C170" s="1" t="n">
        <v>46195</v>
      </c>
      <c r="D170" t="inlineStr">
        <is>
          <t>VÄSTERBOTTENS LÄN</t>
        </is>
      </c>
      <c r="E170" t="inlineStr">
        <is>
          <t>STORUMAN</t>
        </is>
      </c>
      <c r="G170" t="n">
        <v>10.5</v>
      </c>
      <c r="H170" t="n">
        <v>0</v>
      </c>
      <c r="I170" t="n">
        <v>0</v>
      </c>
      <c r="J170" t="n">
        <v>0</v>
      </c>
      <c r="K170" t="n">
        <v>0</v>
      </c>
      <c r="L170" t="n">
        <v>0</v>
      </c>
      <c r="M170" t="n">
        <v>0</v>
      </c>
      <c r="N170" t="n">
        <v>0</v>
      </c>
      <c r="O170" t="n">
        <v>0</v>
      </c>
      <c r="P170" t="n">
        <v>0</v>
      </c>
      <c r="Q170" t="n">
        <v>0</v>
      </c>
      <c r="R170" s="2" t="inlineStr"/>
    </row>
    <row r="171" ht="15" customHeight="1">
      <c r="A171" t="inlineStr">
        <is>
          <t>A 41126-2025</t>
        </is>
      </c>
      <c r="B171" s="1" t="n">
        <v>45898</v>
      </c>
      <c r="C171" s="1" t="n">
        <v>46195</v>
      </c>
      <c r="D171" t="inlineStr">
        <is>
          <t>VÄSTERBOTTENS LÄN</t>
        </is>
      </c>
      <c r="E171" t="inlineStr">
        <is>
          <t>STORUMAN</t>
        </is>
      </c>
      <c r="F171" t="inlineStr">
        <is>
          <t>Sveaskog</t>
        </is>
      </c>
      <c r="G171" t="n">
        <v>4.7</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v>
      </c>
      <c r="C172" s="1" t="n">
        <v>46195</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41127-2025</t>
        </is>
      </c>
      <c r="B173" s="1" t="n">
        <v>45898</v>
      </c>
      <c r="C173" s="1" t="n">
        <v>46195</v>
      </c>
      <c r="D173" t="inlineStr">
        <is>
          <t>VÄSTERBOTTENS LÄN</t>
        </is>
      </c>
      <c r="E173" t="inlineStr">
        <is>
          <t>STORUMAN</t>
        </is>
      </c>
      <c r="F173" t="inlineStr">
        <is>
          <t>Sveaskog</t>
        </is>
      </c>
      <c r="G173" t="n">
        <v>7.5</v>
      </c>
      <c r="H173" t="n">
        <v>0</v>
      </c>
      <c r="I173" t="n">
        <v>0</v>
      </c>
      <c r="J173" t="n">
        <v>0</v>
      </c>
      <c r="K173" t="n">
        <v>0</v>
      </c>
      <c r="L173" t="n">
        <v>0</v>
      </c>
      <c r="M173" t="n">
        <v>0</v>
      </c>
      <c r="N173" t="n">
        <v>0</v>
      </c>
      <c r="O173" t="n">
        <v>0</v>
      </c>
      <c r="P173" t="n">
        <v>0</v>
      </c>
      <c r="Q173" t="n">
        <v>0</v>
      </c>
      <c r="R173" s="2" t="inlineStr"/>
    </row>
    <row r="174" ht="15" customHeight="1">
      <c r="A174" t="inlineStr">
        <is>
          <t>A 41138-2025</t>
        </is>
      </c>
      <c r="B174" s="1" t="n">
        <v>45898</v>
      </c>
      <c r="C174" s="1" t="n">
        <v>46195</v>
      </c>
      <c r="D174" t="inlineStr">
        <is>
          <t>VÄSTERBOTTENS LÄN</t>
        </is>
      </c>
      <c r="E174" t="inlineStr">
        <is>
          <t>STORUMAN</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41142-2025</t>
        </is>
      </c>
      <c r="B175" s="1" t="n">
        <v>45898</v>
      </c>
      <c r="C175" s="1" t="n">
        <v>46195</v>
      </c>
      <c r="D175" t="inlineStr">
        <is>
          <t>VÄSTERBOTTENS LÄN</t>
        </is>
      </c>
      <c r="E175" t="inlineStr">
        <is>
          <t>STORUMAN</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39260-2024</t>
        </is>
      </c>
      <c r="B176" s="1" t="n">
        <v>45551</v>
      </c>
      <c r="C176" s="1" t="n">
        <v>46195</v>
      </c>
      <c r="D176" t="inlineStr">
        <is>
          <t>VÄSTERBOTTENS LÄN</t>
        </is>
      </c>
      <c r="E176" t="inlineStr">
        <is>
          <t>STORUMAN</t>
        </is>
      </c>
      <c r="G176" t="n">
        <v>3.2</v>
      </c>
      <c r="H176" t="n">
        <v>0</v>
      </c>
      <c r="I176" t="n">
        <v>0</v>
      </c>
      <c r="J176" t="n">
        <v>0</v>
      </c>
      <c r="K176" t="n">
        <v>0</v>
      </c>
      <c r="L176" t="n">
        <v>0</v>
      </c>
      <c r="M176" t="n">
        <v>0</v>
      </c>
      <c r="N176" t="n">
        <v>0</v>
      </c>
      <c r="O176" t="n">
        <v>0</v>
      </c>
      <c r="P176" t="n">
        <v>0</v>
      </c>
      <c r="Q176" t="n">
        <v>0</v>
      </c>
      <c r="R176" s="2" t="inlineStr"/>
    </row>
    <row r="177" ht="15" customHeight="1">
      <c r="A177" t="inlineStr">
        <is>
          <t>A 41149-2025</t>
        </is>
      </c>
      <c r="B177" s="1" t="n">
        <v>45898</v>
      </c>
      <c r="C177" s="1" t="n">
        <v>46195</v>
      </c>
      <c r="D177" t="inlineStr">
        <is>
          <t>VÄSTERBOTTENS LÄN</t>
        </is>
      </c>
      <c r="E177" t="inlineStr">
        <is>
          <t>STORUMAN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41145-2025</t>
        </is>
      </c>
      <c r="B178" s="1" t="n">
        <v>45898</v>
      </c>
      <c r="C178" s="1" t="n">
        <v>46195</v>
      </c>
      <c r="D178" t="inlineStr">
        <is>
          <t>VÄSTERBOTTENS LÄN</t>
        </is>
      </c>
      <c r="E178" t="inlineStr">
        <is>
          <t>STORUMAN</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41141-2025</t>
        </is>
      </c>
      <c r="B179" s="1" t="n">
        <v>45898</v>
      </c>
      <c r="C179" s="1" t="n">
        <v>46195</v>
      </c>
      <c r="D179" t="inlineStr">
        <is>
          <t>VÄSTERBOTTENS LÄN</t>
        </is>
      </c>
      <c r="E179" t="inlineStr">
        <is>
          <t>STORUMAN</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41864-2025</t>
        </is>
      </c>
      <c r="B180" s="1" t="n">
        <v>45903</v>
      </c>
      <c r="C180" s="1" t="n">
        <v>46195</v>
      </c>
      <c r="D180" t="inlineStr">
        <is>
          <t>VÄSTERBOTTENS LÄN</t>
        </is>
      </c>
      <c r="E180" t="inlineStr">
        <is>
          <t>STORUMAN</t>
        </is>
      </c>
      <c r="F180" t="inlineStr">
        <is>
          <t>Allmännings- och besparingsskogar</t>
        </is>
      </c>
      <c r="G180" t="n">
        <v>0.9</v>
      </c>
      <c r="H180" t="n">
        <v>0</v>
      </c>
      <c r="I180" t="n">
        <v>0</v>
      </c>
      <c r="J180" t="n">
        <v>0</v>
      </c>
      <c r="K180" t="n">
        <v>0</v>
      </c>
      <c r="L180" t="n">
        <v>0</v>
      </c>
      <c r="M180" t="n">
        <v>0</v>
      </c>
      <c r="N180" t="n">
        <v>0</v>
      </c>
      <c r="O180" t="n">
        <v>0</v>
      </c>
      <c r="P180" t="n">
        <v>0</v>
      </c>
      <c r="Q180" t="n">
        <v>0</v>
      </c>
      <c r="R180" s="2" t="inlineStr"/>
    </row>
    <row r="181" ht="15" customHeight="1">
      <c r="A181" t="inlineStr">
        <is>
          <t>A 11246-2025</t>
        </is>
      </c>
      <c r="B181" s="1" t="n">
        <v>45726</v>
      </c>
      <c r="C181" s="1" t="n">
        <v>46195</v>
      </c>
      <c r="D181" t="inlineStr">
        <is>
          <t>VÄSTERBOTTENS LÄN</t>
        </is>
      </c>
      <c r="E181" t="inlineStr">
        <is>
          <t>STORUMAN</t>
        </is>
      </c>
      <c r="G181" t="n">
        <v>7.5</v>
      </c>
      <c r="H181" t="n">
        <v>0</v>
      </c>
      <c r="I181" t="n">
        <v>0</v>
      </c>
      <c r="J181" t="n">
        <v>0</v>
      </c>
      <c r="K181" t="n">
        <v>0</v>
      </c>
      <c r="L181" t="n">
        <v>0</v>
      </c>
      <c r="M181" t="n">
        <v>0</v>
      </c>
      <c r="N181" t="n">
        <v>0</v>
      </c>
      <c r="O181" t="n">
        <v>0</v>
      </c>
      <c r="P181" t="n">
        <v>0</v>
      </c>
      <c r="Q181" t="n">
        <v>0</v>
      </c>
      <c r="R181" s="2" t="inlineStr"/>
    </row>
    <row r="182" ht="15" customHeight="1">
      <c r="A182" t="inlineStr">
        <is>
          <t>A 26352-2026</t>
        </is>
      </c>
      <c r="B182" s="1" t="n">
        <v>46182</v>
      </c>
      <c r="C182" s="1" t="n">
        <v>46195</v>
      </c>
      <c r="D182" t="inlineStr">
        <is>
          <t>VÄSTERBOTTENS LÄN</t>
        </is>
      </c>
      <c r="E182" t="inlineStr">
        <is>
          <t>STORUMAN</t>
        </is>
      </c>
      <c r="G182" t="n">
        <v>3.4</v>
      </c>
      <c r="H182" t="n">
        <v>0</v>
      </c>
      <c r="I182" t="n">
        <v>0</v>
      </c>
      <c r="J182" t="n">
        <v>0</v>
      </c>
      <c r="K182" t="n">
        <v>0</v>
      </c>
      <c r="L182" t="n">
        <v>0</v>
      </c>
      <c r="M182" t="n">
        <v>0</v>
      </c>
      <c r="N182" t="n">
        <v>0</v>
      </c>
      <c r="O182" t="n">
        <v>0</v>
      </c>
      <c r="P182" t="n">
        <v>0</v>
      </c>
      <c r="Q182" t="n">
        <v>0</v>
      </c>
      <c r="R182" s="2" t="inlineStr"/>
    </row>
    <row r="183" ht="15" customHeight="1">
      <c r="A183" t="inlineStr">
        <is>
          <t>A 42331-2021</t>
        </is>
      </c>
      <c r="B183" s="1" t="n">
        <v>44427</v>
      </c>
      <c r="C183" s="1" t="n">
        <v>46195</v>
      </c>
      <c r="D183" t="inlineStr">
        <is>
          <t>VÄSTERBOTTENS LÄN</t>
        </is>
      </c>
      <c r="E183" t="inlineStr">
        <is>
          <t>STORUMAN</t>
        </is>
      </c>
      <c r="G183" t="n">
        <v>10.8</v>
      </c>
      <c r="H183" t="n">
        <v>0</v>
      </c>
      <c r="I183" t="n">
        <v>0</v>
      </c>
      <c r="J183" t="n">
        <v>0</v>
      </c>
      <c r="K183" t="n">
        <v>0</v>
      </c>
      <c r="L183" t="n">
        <v>0</v>
      </c>
      <c r="M183" t="n">
        <v>0</v>
      </c>
      <c r="N183" t="n">
        <v>0</v>
      </c>
      <c r="O183" t="n">
        <v>0</v>
      </c>
      <c r="P183" t="n">
        <v>0</v>
      </c>
      <c r="Q183" t="n">
        <v>0</v>
      </c>
      <c r="R183" s="2" t="inlineStr"/>
    </row>
    <row r="184" ht="15" customHeight="1">
      <c r="A184" t="inlineStr">
        <is>
          <t>A 42763-2025</t>
        </is>
      </c>
      <c r="B184" s="1" t="n">
        <v>45908</v>
      </c>
      <c r="C184" s="1" t="n">
        <v>46195</v>
      </c>
      <c r="D184" t="inlineStr">
        <is>
          <t>VÄSTERBOTTENS LÄN</t>
        </is>
      </c>
      <c r="E184" t="inlineStr">
        <is>
          <t>STORUMAN</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41108-2023</t>
        </is>
      </c>
      <c r="B185" s="1" t="n">
        <v>45170</v>
      </c>
      <c r="C185" s="1" t="n">
        <v>46195</v>
      </c>
      <c r="D185" t="inlineStr">
        <is>
          <t>VÄSTERBOTTENS LÄN</t>
        </is>
      </c>
      <c r="E185" t="inlineStr">
        <is>
          <t>STORUMAN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44128-2025</t>
        </is>
      </c>
      <c r="B186" s="1" t="n">
        <v>45915</v>
      </c>
      <c r="C186" s="1" t="n">
        <v>46195</v>
      </c>
      <c r="D186" t="inlineStr">
        <is>
          <t>VÄSTERBOTTENS LÄN</t>
        </is>
      </c>
      <c r="E186" t="inlineStr">
        <is>
          <t>STORUMAN</t>
        </is>
      </c>
      <c r="F186" t="inlineStr">
        <is>
          <t>Allmännings- och besparingsskogar</t>
        </is>
      </c>
      <c r="G186" t="n">
        <v>36.5</v>
      </c>
      <c r="H186" t="n">
        <v>0</v>
      </c>
      <c r="I186" t="n">
        <v>0</v>
      </c>
      <c r="J186" t="n">
        <v>0</v>
      </c>
      <c r="K186" t="n">
        <v>0</v>
      </c>
      <c r="L186" t="n">
        <v>0</v>
      </c>
      <c r="M186" t="n">
        <v>0</v>
      </c>
      <c r="N186" t="n">
        <v>0</v>
      </c>
      <c r="O186" t="n">
        <v>0</v>
      </c>
      <c r="P186" t="n">
        <v>0</v>
      </c>
      <c r="Q186" t="n">
        <v>0</v>
      </c>
      <c r="R186" s="2" t="inlineStr"/>
    </row>
    <row r="187" ht="15" customHeight="1">
      <c r="A187" t="inlineStr">
        <is>
          <t>A 44149-2025</t>
        </is>
      </c>
      <c r="B187" s="1" t="n">
        <v>45915</v>
      </c>
      <c r="C187" s="1" t="n">
        <v>46195</v>
      </c>
      <c r="D187" t="inlineStr">
        <is>
          <t>VÄSTERBOTTENS LÄN</t>
        </is>
      </c>
      <c r="E187" t="inlineStr">
        <is>
          <t>STORUMAN</t>
        </is>
      </c>
      <c r="F187" t="inlineStr">
        <is>
          <t>Allmännings- och besparingsskogar</t>
        </is>
      </c>
      <c r="G187" t="n">
        <v>18.9</v>
      </c>
      <c r="H187" t="n">
        <v>0</v>
      </c>
      <c r="I187" t="n">
        <v>0</v>
      </c>
      <c r="J187" t="n">
        <v>0</v>
      </c>
      <c r="K187" t="n">
        <v>0</v>
      </c>
      <c r="L187" t="n">
        <v>0</v>
      </c>
      <c r="M187" t="n">
        <v>0</v>
      </c>
      <c r="N187" t="n">
        <v>0</v>
      </c>
      <c r="O187" t="n">
        <v>0</v>
      </c>
      <c r="P187" t="n">
        <v>0</v>
      </c>
      <c r="Q187" t="n">
        <v>0</v>
      </c>
      <c r="R187" s="2" t="inlineStr"/>
    </row>
    <row r="188" ht="15" customHeight="1">
      <c r="A188" t="inlineStr">
        <is>
          <t>A 44146-2025</t>
        </is>
      </c>
      <c r="B188" s="1" t="n">
        <v>45915</v>
      </c>
      <c r="C188" s="1" t="n">
        <v>46195</v>
      </c>
      <c r="D188" t="inlineStr">
        <is>
          <t>VÄSTERBOTTENS LÄN</t>
        </is>
      </c>
      <c r="E188" t="inlineStr">
        <is>
          <t>STORUMAN</t>
        </is>
      </c>
      <c r="F188" t="inlineStr">
        <is>
          <t>Allmännings- och besparingsskogar</t>
        </is>
      </c>
      <c r="G188" t="n">
        <v>18.5</v>
      </c>
      <c r="H188" t="n">
        <v>0</v>
      </c>
      <c r="I188" t="n">
        <v>0</v>
      </c>
      <c r="J188" t="n">
        <v>0</v>
      </c>
      <c r="K188" t="n">
        <v>0</v>
      </c>
      <c r="L188" t="n">
        <v>0</v>
      </c>
      <c r="M188" t="n">
        <v>0</v>
      </c>
      <c r="N188" t="n">
        <v>0</v>
      </c>
      <c r="O188" t="n">
        <v>0</v>
      </c>
      <c r="P188" t="n">
        <v>0</v>
      </c>
      <c r="Q188" t="n">
        <v>0</v>
      </c>
      <c r="R188" s="2" t="inlineStr"/>
    </row>
    <row r="189" ht="15" customHeight="1">
      <c r="A189" t="inlineStr">
        <is>
          <t>A 44166-2025</t>
        </is>
      </c>
      <c r="B189" s="1" t="n">
        <v>45915</v>
      </c>
      <c r="C189" s="1" t="n">
        <v>46195</v>
      </c>
      <c r="D189" t="inlineStr">
        <is>
          <t>VÄSTERBOTTENS LÄN</t>
        </is>
      </c>
      <c r="E189" t="inlineStr">
        <is>
          <t>STORUMAN</t>
        </is>
      </c>
      <c r="F189" t="inlineStr">
        <is>
          <t>Allmännings- och besparingsskogar</t>
        </is>
      </c>
      <c r="G189" t="n">
        <v>36.3</v>
      </c>
      <c r="H189" t="n">
        <v>0</v>
      </c>
      <c r="I189" t="n">
        <v>0</v>
      </c>
      <c r="J189" t="n">
        <v>0</v>
      </c>
      <c r="K189" t="n">
        <v>0</v>
      </c>
      <c r="L189" t="n">
        <v>0</v>
      </c>
      <c r="M189" t="n">
        <v>0</v>
      </c>
      <c r="N189" t="n">
        <v>0</v>
      </c>
      <c r="O189" t="n">
        <v>0</v>
      </c>
      <c r="P189" t="n">
        <v>0</v>
      </c>
      <c r="Q189" t="n">
        <v>0</v>
      </c>
      <c r="R189" s="2" t="inlineStr"/>
    </row>
    <row r="190" ht="15" customHeight="1">
      <c r="A190" t="inlineStr">
        <is>
          <t>A 44134-2025</t>
        </is>
      </c>
      <c r="B190" s="1" t="n">
        <v>45915</v>
      </c>
      <c r="C190" s="1" t="n">
        <v>46195</v>
      </c>
      <c r="D190" t="inlineStr">
        <is>
          <t>VÄSTERBOTTENS LÄN</t>
        </is>
      </c>
      <c r="E190" t="inlineStr">
        <is>
          <t>STORUMAN</t>
        </is>
      </c>
      <c r="F190" t="inlineStr">
        <is>
          <t>Allmännings- och besparingsskogar</t>
        </is>
      </c>
      <c r="G190" t="n">
        <v>24</v>
      </c>
      <c r="H190" t="n">
        <v>0</v>
      </c>
      <c r="I190" t="n">
        <v>0</v>
      </c>
      <c r="J190" t="n">
        <v>0</v>
      </c>
      <c r="K190" t="n">
        <v>0</v>
      </c>
      <c r="L190" t="n">
        <v>0</v>
      </c>
      <c r="M190" t="n">
        <v>0</v>
      </c>
      <c r="N190" t="n">
        <v>0</v>
      </c>
      <c r="O190" t="n">
        <v>0</v>
      </c>
      <c r="P190" t="n">
        <v>0</v>
      </c>
      <c r="Q190" t="n">
        <v>0</v>
      </c>
      <c r="R190" s="2" t="inlineStr"/>
    </row>
    <row r="191" ht="15" customHeight="1">
      <c r="A191" t="inlineStr">
        <is>
          <t>A 7710-2023</t>
        </is>
      </c>
      <c r="B191" s="1" t="n">
        <v>44972</v>
      </c>
      <c r="C191" s="1" t="n">
        <v>46195</v>
      </c>
      <c r="D191" t="inlineStr">
        <is>
          <t>VÄSTERBOTTENS LÄN</t>
        </is>
      </c>
      <c r="E191" t="inlineStr">
        <is>
          <t>STORUMAN</t>
        </is>
      </c>
      <c r="G191" t="n">
        <v>30.5</v>
      </c>
      <c r="H191" t="n">
        <v>0</v>
      </c>
      <c r="I191" t="n">
        <v>0</v>
      </c>
      <c r="J191" t="n">
        <v>0</v>
      </c>
      <c r="K191" t="n">
        <v>0</v>
      </c>
      <c r="L191" t="n">
        <v>0</v>
      </c>
      <c r="M191" t="n">
        <v>0</v>
      </c>
      <c r="N191" t="n">
        <v>0</v>
      </c>
      <c r="O191" t="n">
        <v>0</v>
      </c>
      <c r="P191" t="n">
        <v>0</v>
      </c>
      <c r="Q191" t="n">
        <v>0</v>
      </c>
      <c r="R191" s="2" t="inlineStr"/>
    </row>
    <row r="192" ht="15" customHeight="1">
      <c r="A192" t="inlineStr">
        <is>
          <t>A 45255-2025</t>
        </is>
      </c>
      <c r="B192" s="1" t="n">
        <v>45919</v>
      </c>
      <c r="C192" s="1" t="n">
        <v>46195</v>
      </c>
      <c r="D192" t="inlineStr">
        <is>
          <t>VÄSTERBOTTENS LÄN</t>
        </is>
      </c>
      <c r="E192" t="inlineStr">
        <is>
          <t>STORUMAN</t>
        </is>
      </c>
      <c r="F192" t="inlineStr">
        <is>
          <t>Sveaskog</t>
        </is>
      </c>
      <c r="G192" t="n">
        <v>3.1</v>
      </c>
      <c r="H192" t="n">
        <v>0</v>
      </c>
      <c r="I192" t="n">
        <v>0</v>
      </c>
      <c r="J192" t="n">
        <v>0</v>
      </c>
      <c r="K192" t="n">
        <v>0</v>
      </c>
      <c r="L192" t="n">
        <v>0</v>
      </c>
      <c r="M192" t="n">
        <v>0</v>
      </c>
      <c r="N192" t="n">
        <v>0</v>
      </c>
      <c r="O192" t="n">
        <v>0</v>
      </c>
      <c r="P192" t="n">
        <v>0</v>
      </c>
      <c r="Q192" t="n">
        <v>0</v>
      </c>
      <c r="R192" s="2" t="inlineStr"/>
    </row>
    <row r="193" ht="15" customHeight="1">
      <c r="A193" t="inlineStr">
        <is>
          <t>A 26351-2026</t>
        </is>
      </c>
      <c r="B193" s="1" t="n">
        <v>46182</v>
      </c>
      <c r="C193" s="1" t="n">
        <v>46195</v>
      </c>
      <c r="D193" t="inlineStr">
        <is>
          <t>VÄSTERBOTTENS LÄN</t>
        </is>
      </c>
      <c r="E193" t="inlineStr">
        <is>
          <t>STORUMAN</t>
        </is>
      </c>
      <c r="G193" t="n">
        <v>1.7</v>
      </c>
      <c r="H193" t="n">
        <v>0</v>
      </c>
      <c r="I193" t="n">
        <v>0</v>
      </c>
      <c r="J193" t="n">
        <v>0</v>
      </c>
      <c r="K193" t="n">
        <v>0</v>
      </c>
      <c r="L193" t="n">
        <v>0</v>
      </c>
      <c r="M193" t="n">
        <v>0</v>
      </c>
      <c r="N193" t="n">
        <v>0</v>
      </c>
      <c r="O193" t="n">
        <v>0</v>
      </c>
      <c r="P193" t="n">
        <v>0</v>
      </c>
      <c r="Q193" t="n">
        <v>0</v>
      </c>
      <c r="R193" s="2" t="inlineStr"/>
    </row>
    <row r="194" ht="15" customHeight="1">
      <c r="A194" t="inlineStr">
        <is>
          <t>A 12550-2023</t>
        </is>
      </c>
      <c r="B194" s="1" t="n">
        <v>44998</v>
      </c>
      <c r="C194" s="1" t="n">
        <v>46195</v>
      </c>
      <c r="D194" t="inlineStr">
        <is>
          <t>VÄSTERBOTTENS LÄN</t>
        </is>
      </c>
      <c r="E194" t="inlineStr">
        <is>
          <t>STORUMAN</t>
        </is>
      </c>
      <c r="F194" t="inlineStr">
        <is>
          <t>Övriga statliga verk och myndigheter</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12556-2023</t>
        </is>
      </c>
      <c r="B195" s="1" t="n">
        <v>44998</v>
      </c>
      <c r="C195" s="1" t="n">
        <v>46195</v>
      </c>
      <c r="D195" t="inlineStr">
        <is>
          <t>VÄSTERBOTTENS LÄN</t>
        </is>
      </c>
      <c r="E195" t="inlineStr">
        <is>
          <t>STORUMAN</t>
        </is>
      </c>
      <c r="F195" t="inlineStr">
        <is>
          <t>Övriga statliga verk och myndigheter</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12561-2023</t>
        </is>
      </c>
      <c r="B196" s="1" t="n">
        <v>44998</v>
      </c>
      <c r="C196" s="1" t="n">
        <v>46195</v>
      </c>
      <c r="D196" t="inlineStr">
        <is>
          <t>VÄSTERBOTTENS LÄN</t>
        </is>
      </c>
      <c r="E196" t="inlineStr">
        <is>
          <t>STORUMAN</t>
        </is>
      </c>
      <c r="F196" t="inlineStr">
        <is>
          <t>Övriga statliga verk och myndigheter</t>
        </is>
      </c>
      <c r="G196" t="n">
        <v>6.9</v>
      </c>
      <c r="H196" t="n">
        <v>0</v>
      </c>
      <c r="I196" t="n">
        <v>0</v>
      </c>
      <c r="J196" t="n">
        <v>0</v>
      </c>
      <c r="K196" t="n">
        <v>0</v>
      </c>
      <c r="L196" t="n">
        <v>0</v>
      </c>
      <c r="M196" t="n">
        <v>0</v>
      </c>
      <c r="N196" t="n">
        <v>0</v>
      </c>
      <c r="O196" t="n">
        <v>0</v>
      </c>
      <c r="P196" t="n">
        <v>0</v>
      </c>
      <c r="Q196" t="n">
        <v>0</v>
      </c>
      <c r="R196" s="2" t="inlineStr"/>
    </row>
    <row r="197" ht="15" customHeight="1">
      <c r="A197" t="inlineStr">
        <is>
          <t>A 30815-2024</t>
        </is>
      </c>
      <c r="B197" s="1" t="n">
        <v>45497</v>
      </c>
      <c r="C197" s="1" t="n">
        <v>46195</v>
      </c>
      <c r="D197" t="inlineStr">
        <is>
          <t>VÄSTERBOTTENS LÄN</t>
        </is>
      </c>
      <c r="E197" t="inlineStr">
        <is>
          <t>STORUMAN</t>
        </is>
      </c>
      <c r="G197" t="n">
        <v>25.8</v>
      </c>
      <c r="H197" t="n">
        <v>0</v>
      </c>
      <c r="I197" t="n">
        <v>0</v>
      </c>
      <c r="J197" t="n">
        <v>0</v>
      </c>
      <c r="K197" t="n">
        <v>0</v>
      </c>
      <c r="L197" t="n">
        <v>0</v>
      </c>
      <c r="M197" t="n">
        <v>0</v>
      </c>
      <c r="N197" t="n">
        <v>0</v>
      </c>
      <c r="O197" t="n">
        <v>0</v>
      </c>
      <c r="P197" t="n">
        <v>0</v>
      </c>
      <c r="Q197" t="n">
        <v>0</v>
      </c>
      <c r="R197" s="2" t="inlineStr"/>
    </row>
    <row r="198" ht="15" customHeight="1">
      <c r="A198" t="inlineStr">
        <is>
          <t>A 49684-2025</t>
        </is>
      </c>
      <c r="B198" s="1" t="n">
        <v>45939</v>
      </c>
      <c r="C198" s="1" t="n">
        <v>46195</v>
      </c>
      <c r="D198" t="inlineStr">
        <is>
          <t>VÄSTERBOTTENS LÄN</t>
        </is>
      </c>
      <c r="E198" t="inlineStr">
        <is>
          <t>STORUMAN</t>
        </is>
      </c>
      <c r="F198" t="inlineStr">
        <is>
          <t>Holmen skog AB</t>
        </is>
      </c>
      <c r="G198" t="n">
        <v>2.7</v>
      </c>
      <c r="H198" t="n">
        <v>0</v>
      </c>
      <c r="I198" t="n">
        <v>0</v>
      </c>
      <c r="J198" t="n">
        <v>0</v>
      </c>
      <c r="K198" t="n">
        <v>0</v>
      </c>
      <c r="L198" t="n">
        <v>0</v>
      </c>
      <c r="M198" t="n">
        <v>0</v>
      </c>
      <c r="N198" t="n">
        <v>0</v>
      </c>
      <c r="O198" t="n">
        <v>0</v>
      </c>
      <c r="P198" t="n">
        <v>0</v>
      </c>
      <c r="Q198" t="n">
        <v>0</v>
      </c>
      <c r="R198" s="2" t="inlineStr"/>
    </row>
    <row r="199" ht="15" customHeight="1">
      <c r="A199" t="inlineStr">
        <is>
          <t>A 36918-2021</t>
        </is>
      </c>
      <c r="B199" s="1" t="n">
        <v>44393</v>
      </c>
      <c r="C199" s="1" t="n">
        <v>46195</v>
      </c>
      <c r="D199" t="inlineStr">
        <is>
          <t>VÄSTERBOTTENS LÄN</t>
        </is>
      </c>
      <c r="E199" t="inlineStr">
        <is>
          <t>STORUMAN</t>
        </is>
      </c>
      <c r="F199" t="inlineStr">
        <is>
          <t>Sveaskog</t>
        </is>
      </c>
      <c r="G199" t="n">
        <v>3.2</v>
      </c>
      <c r="H199" t="n">
        <v>0</v>
      </c>
      <c r="I199" t="n">
        <v>0</v>
      </c>
      <c r="J199" t="n">
        <v>0</v>
      </c>
      <c r="K199" t="n">
        <v>0</v>
      </c>
      <c r="L199" t="n">
        <v>0</v>
      </c>
      <c r="M199" t="n">
        <v>0</v>
      </c>
      <c r="N199" t="n">
        <v>0</v>
      </c>
      <c r="O199" t="n">
        <v>0</v>
      </c>
      <c r="P199" t="n">
        <v>0</v>
      </c>
      <c r="Q199" t="n">
        <v>0</v>
      </c>
      <c r="R199" s="2" t="inlineStr"/>
    </row>
    <row r="200" ht="15" customHeight="1">
      <c r="A200" t="inlineStr">
        <is>
          <t>A 46595-2025</t>
        </is>
      </c>
      <c r="B200" s="1" t="n">
        <v>45926</v>
      </c>
      <c r="C200" s="1" t="n">
        <v>46195</v>
      </c>
      <c r="D200" t="inlineStr">
        <is>
          <t>VÄSTERBOTTENS LÄN</t>
        </is>
      </c>
      <c r="E200" t="inlineStr">
        <is>
          <t>STORUMAN</t>
        </is>
      </c>
      <c r="G200" t="n">
        <v>4.8</v>
      </c>
      <c r="H200" t="n">
        <v>0</v>
      </c>
      <c r="I200" t="n">
        <v>0</v>
      </c>
      <c r="J200" t="n">
        <v>0</v>
      </c>
      <c r="K200" t="n">
        <v>0</v>
      </c>
      <c r="L200" t="n">
        <v>0</v>
      </c>
      <c r="M200" t="n">
        <v>0</v>
      </c>
      <c r="N200" t="n">
        <v>0</v>
      </c>
      <c r="O200" t="n">
        <v>0</v>
      </c>
      <c r="P200" t="n">
        <v>0</v>
      </c>
      <c r="Q200" t="n">
        <v>0</v>
      </c>
      <c r="R200" s="2" t="inlineStr"/>
    </row>
    <row r="201" ht="15" customHeight="1">
      <c r="A201" t="inlineStr">
        <is>
          <t>A 46586-2025</t>
        </is>
      </c>
      <c r="B201" s="1" t="n">
        <v>45926</v>
      </c>
      <c r="C201" s="1" t="n">
        <v>46195</v>
      </c>
      <c r="D201" t="inlineStr">
        <is>
          <t>VÄSTERBOTTENS LÄN</t>
        </is>
      </c>
      <c r="E201" t="inlineStr">
        <is>
          <t>STORUMAN</t>
        </is>
      </c>
      <c r="G201" t="n">
        <v>4.4</v>
      </c>
      <c r="H201" t="n">
        <v>0</v>
      </c>
      <c r="I201" t="n">
        <v>0</v>
      </c>
      <c r="J201" t="n">
        <v>0</v>
      </c>
      <c r="K201" t="n">
        <v>0</v>
      </c>
      <c r="L201" t="n">
        <v>0</v>
      </c>
      <c r="M201" t="n">
        <v>0</v>
      </c>
      <c r="N201" t="n">
        <v>0</v>
      </c>
      <c r="O201" t="n">
        <v>0</v>
      </c>
      <c r="P201" t="n">
        <v>0</v>
      </c>
      <c r="Q201" t="n">
        <v>0</v>
      </c>
      <c r="R201" s="2" t="inlineStr"/>
    </row>
    <row r="202" ht="15" customHeight="1">
      <c r="A202" t="inlineStr">
        <is>
          <t>A 47125-2025</t>
        </is>
      </c>
      <c r="B202" s="1" t="n">
        <v>45929</v>
      </c>
      <c r="C202" s="1" t="n">
        <v>46195</v>
      </c>
      <c r="D202" t="inlineStr">
        <is>
          <t>VÄSTERBOTTENS LÄN</t>
        </is>
      </c>
      <c r="E202" t="inlineStr">
        <is>
          <t>STORUMAN</t>
        </is>
      </c>
      <c r="G202" t="n">
        <v>1.4</v>
      </c>
      <c r="H202" t="n">
        <v>0</v>
      </c>
      <c r="I202" t="n">
        <v>0</v>
      </c>
      <c r="J202" t="n">
        <v>0</v>
      </c>
      <c r="K202" t="n">
        <v>0</v>
      </c>
      <c r="L202" t="n">
        <v>0</v>
      </c>
      <c r="M202" t="n">
        <v>0</v>
      </c>
      <c r="N202" t="n">
        <v>0</v>
      </c>
      <c r="O202" t="n">
        <v>0</v>
      </c>
      <c r="P202" t="n">
        <v>0</v>
      </c>
      <c r="Q202" t="n">
        <v>0</v>
      </c>
      <c r="R202" s="2" t="inlineStr"/>
    </row>
    <row r="203" ht="15" customHeight="1">
      <c r="A203" t="inlineStr">
        <is>
          <t>A 50913-2022</t>
        </is>
      </c>
      <c r="B203" s="1" t="n">
        <v>44867</v>
      </c>
      <c r="C203" s="1" t="n">
        <v>46195</v>
      </c>
      <c r="D203" t="inlineStr">
        <is>
          <t>VÄSTERBOTTENS LÄN</t>
        </is>
      </c>
      <c r="E203" t="inlineStr">
        <is>
          <t>STORUMAN</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39973-2021</t>
        </is>
      </c>
      <c r="B204" s="1" t="n">
        <v>44417</v>
      </c>
      <c r="C204" s="1" t="n">
        <v>46195</v>
      </c>
      <c r="D204" t="inlineStr">
        <is>
          <t>VÄSTERBOTTENS LÄN</t>
        </is>
      </c>
      <c r="E204" t="inlineStr">
        <is>
          <t>STORUMAN</t>
        </is>
      </c>
      <c r="G204" t="n">
        <v>34.6</v>
      </c>
      <c r="H204" t="n">
        <v>0</v>
      </c>
      <c r="I204" t="n">
        <v>0</v>
      </c>
      <c r="J204" t="n">
        <v>0</v>
      </c>
      <c r="K204" t="n">
        <v>0</v>
      </c>
      <c r="L204" t="n">
        <v>0</v>
      </c>
      <c r="M204" t="n">
        <v>0</v>
      </c>
      <c r="N204" t="n">
        <v>0</v>
      </c>
      <c r="O204" t="n">
        <v>0</v>
      </c>
      <c r="P204" t="n">
        <v>0</v>
      </c>
      <c r="Q204" t="n">
        <v>0</v>
      </c>
      <c r="R204" s="2" t="inlineStr"/>
    </row>
    <row r="205" ht="15" customHeight="1">
      <c r="A205" t="inlineStr">
        <is>
          <t>A 40111-2023</t>
        </is>
      </c>
      <c r="B205" s="1" t="n">
        <v>45168</v>
      </c>
      <c r="C205" s="1" t="n">
        <v>46195</v>
      </c>
      <c r="D205" t="inlineStr">
        <is>
          <t>VÄSTERBOTTENS LÄN</t>
        </is>
      </c>
      <c r="E205" t="inlineStr">
        <is>
          <t>STORUMAN</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27585-2024</t>
        </is>
      </c>
      <c r="B206" s="1" t="n">
        <v>45474</v>
      </c>
      <c r="C206" s="1" t="n">
        <v>46195</v>
      </c>
      <c r="D206" t="inlineStr">
        <is>
          <t>VÄSTERBOTTENS LÄN</t>
        </is>
      </c>
      <c r="E206" t="inlineStr">
        <is>
          <t>STORUMAN</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6636-2022</t>
        </is>
      </c>
      <c r="B207" s="1" t="n">
        <v>44601</v>
      </c>
      <c r="C207" s="1" t="n">
        <v>46195</v>
      </c>
      <c r="D207" t="inlineStr">
        <is>
          <t>VÄSTERBOTTENS LÄN</t>
        </is>
      </c>
      <c r="E207" t="inlineStr">
        <is>
          <t>STORUMAN</t>
        </is>
      </c>
      <c r="G207" t="n">
        <v>23.5</v>
      </c>
      <c r="H207" t="n">
        <v>0</v>
      </c>
      <c r="I207" t="n">
        <v>0</v>
      </c>
      <c r="J207" t="n">
        <v>0</v>
      </c>
      <c r="K207" t="n">
        <v>0</v>
      </c>
      <c r="L207" t="n">
        <v>0</v>
      </c>
      <c r="M207" t="n">
        <v>0</v>
      </c>
      <c r="N207" t="n">
        <v>0</v>
      </c>
      <c r="O207" t="n">
        <v>0</v>
      </c>
      <c r="P207" t="n">
        <v>0</v>
      </c>
      <c r="Q207" t="n">
        <v>0</v>
      </c>
      <c r="R207" s="2" t="inlineStr"/>
    </row>
    <row r="208" ht="15" customHeight="1">
      <c r="A208" t="inlineStr">
        <is>
          <t>A 60535-2023</t>
        </is>
      </c>
      <c r="B208" s="1" t="n">
        <v>45258</v>
      </c>
      <c r="C208" s="1" t="n">
        <v>46195</v>
      </c>
      <c r="D208" t="inlineStr">
        <is>
          <t>VÄSTERBOTTENS LÄN</t>
        </is>
      </c>
      <c r="E208" t="inlineStr">
        <is>
          <t>STORUMAN</t>
        </is>
      </c>
      <c r="G208" t="n">
        <v>16</v>
      </c>
      <c r="H208" t="n">
        <v>0</v>
      </c>
      <c r="I208" t="n">
        <v>0</v>
      </c>
      <c r="J208" t="n">
        <v>0</v>
      </c>
      <c r="K208" t="n">
        <v>0</v>
      </c>
      <c r="L208" t="n">
        <v>0</v>
      </c>
      <c r="M208" t="n">
        <v>0</v>
      </c>
      <c r="N208" t="n">
        <v>0</v>
      </c>
      <c r="O208" t="n">
        <v>0</v>
      </c>
      <c r="P208" t="n">
        <v>0</v>
      </c>
      <c r="Q208" t="n">
        <v>0</v>
      </c>
      <c r="R208" s="2" t="inlineStr"/>
    </row>
    <row r="209" ht="15" customHeight="1">
      <c r="A209" t="inlineStr">
        <is>
          <t>A 43345-2023</t>
        </is>
      </c>
      <c r="B209" s="1" t="n">
        <v>45181</v>
      </c>
      <c r="C209" s="1" t="n">
        <v>46195</v>
      </c>
      <c r="D209" t="inlineStr">
        <is>
          <t>VÄSTERBOTTENS LÄN</t>
        </is>
      </c>
      <c r="E209" t="inlineStr">
        <is>
          <t>STORUMAN</t>
        </is>
      </c>
      <c r="G209" t="n">
        <v>1.2</v>
      </c>
      <c r="H209" t="n">
        <v>0</v>
      </c>
      <c r="I209" t="n">
        <v>0</v>
      </c>
      <c r="J209" t="n">
        <v>0</v>
      </c>
      <c r="K209" t="n">
        <v>0</v>
      </c>
      <c r="L209" t="n">
        <v>0</v>
      </c>
      <c r="M209" t="n">
        <v>0</v>
      </c>
      <c r="N209" t="n">
        <v>0</v>
      </c>
      <c r="O209" t="n">
        <v>0</v>
      </c>
      <c r="P209" t="n">
        <v>0</v>
      </c>
      <c r="Q209" t="n">
        <v>0</v>
      </c>
      <c r="R209" s="2" t="inlineStr"/>
    </row>
    <row r="210" ht="15" customHeight="1">
      <c r="A210" t="inlineStr">
        <is>
          <t>A 72281-2021</t>
        </is>
      </c>
      <c r="B210" s="1" t="n">
        <v>44543</v>
      </c>
      <c r="C210" s="1" t="n">
        <v>46195</v>
      </c>
      <c r="D210" t="inlineStr">
        <is>
          <t>VÄSTERBOTTENS LÄN</t>
        </is>
      </c>
      <c r="E210" t="inlineStr">
        <is>
          <t>STORUMAN</t>
        </is>
      </c>
      <c r="G210" t="n">
        <v>18.5</v>
      </c>
      <c r="H210" t="n">
        <v>0</v>
      </c>
      <c r="I210" t="n">
        <v>0</v>
      </c>
      <c r="J210" t="n">
        <v>0</v>
      </c>
      <c r="K210" t="n">
        <v>0</v>
      </c>
      <c r="L210" t="n">
        <v>0</v>
      </c>
      <c r="M210" t="n">
        <v>0</v>
      </c>
      <c r="N210" t="n">
        <v>0</v>
      </c>
      <c r="O210" t="n">
        <v>0</v>
      </c>
      <c r="P210" t="n">
        <v>0</v>
      </c>
      <c r="Q210" t="n">
        <v>0</v>
      </c>
      <c r="R210" s="2" t="inlineStr"/>
    </row>
    <row r="211" ht="15" customHeight="1">
      <c r="A211" t="inlineStr">
        <is>
          <t>A 48833-2025</t>
        </is>
      </c>
      <c r="B211" s="1" t="n">
        <v>45937</v>
      </c>
      <c r="C211" s="1" t="n">
        <v>46195</v>
      </c>
      <c r="D211" t="inlineStr">
        <is>
          <t>VÄSTERBOTTENS LÄN</t>
        </is>
      </c>
      <c r="E211" t="inlineStr">
        <is>
          <t>STORUMAN</t>
        </is>
      </c>
      <c r="G211" t="n">
        <v>3</v>
      </c>
      <c r="H211" t="n">
        <v>0</v>
      </c>
      <c r="I211" t="n">
        <v>0</v>
      </c>
      <c r="J211" t="n">
        <v>0</v>
      </c>
      <c r="K211" t="n">
        <v>0</v>
      </c>
      <c r="L211" t="n">
        <v>0</v>
      </c>
      <c r="M211" t="n">
        <v>0</v>
      </c>
      <c r="N211" t="n">
        <v>0</v>
      </c>
      <c r="O211" t="n">
        <v>0</v>
      </c>
      <c r="P211" t="n">
        <v>0</v>
      </c>
      <c r="Q211" t="n">
        <v>0</v>
      </c>
      <c r="R211" s="2" t="inlineStr"/>
    </row>
    <row r="212" ht="15" customHeight="1">
      <c r="A212" t="inlineStr">
        <is>
          <t>A 49416-2025</t>
        </is>
      </c>
      <c r="B212" s="1" t="n">
        <v>45938</v>
      </c>
      <c r="C212" s="1" t="n">
        <v>46195</v>
      </c>
      <c r="D212" t="inlineStr">
        <is>
          <t>VÄSTERBOTTENS LÄN</t>
        </is>
      </c>
      <c r="E212" t="inlineStr">
        <is>
          <t>STORUMAN</t>
        </is>
      </c>
      <c r="F212" t="inlineStr">
        <is>
          <t>Holmen skog AB</t>
        </is>
      </c>
      <c r="G212" t="n">
        <v>5.6</v>
      </c>
      <c r="H212" t="n">
        <v>0</v>
      </c>
      <c r="I212" t="n">
        <v>0</v>
      </c>
      <c r="J212" t="n">
        <v>0</v>
      </c>
      <c r="K212" t="n">
        <v>0</v>
      </c>
      <c r="L212" t="n">
        <v>0</v>
      </c>
      <c r="M212" t="n">
        <v>0</v>
      </c>
      <c r="N212" t="n">
        <v>0</v>
      </c>
      <c r="O212" t="n">
        <v>0</v>
      </c>
      <c r="P212" t="n">
        <v>0</v>
      </c>
      <c r="Q212" t="n">
        <v>0</v>
      </c>
      <c r="R212" s="2" t="inlineStr"/>
    </row>
    <row r="213" ht="15" customHeight="1">
      <c r="A213" t="inlineStr">
        <is>
          <t>A 19326-2023</t>
        </is>
      </c>
      <c r="B213" s="1" t="n">
        <v>45049</v>
      </c>
      <c r="C213" s="1" t="n">
        <v>46195</v>
      </c>
      <c r="D213" t="inlineStr">
        <is>
          <t>VÄSTERBOTTENS LÄN</t>
        </is>
      </c>
      <c r="E213" t="inlineStr">
        <is>
          <t>STORUMAN</t>
        </is>
      </c>
      <c r="G213" t="n">
        <v>35.3</v>
      </c>
      <c r="H213" t="n">
        <v>0</v>
      </c>
      <c r="I213" t="n">
        <v>0</v>
      </c>
      <c r="J213" t="n">
        <v>0</v>
      </c>
      <c r="K213" t="n">
        <v>0</v>
      </c>
      <c r="L213" t="n">
        <v>0</v>
      </c>
      <c r="M213" t="n">
        <v>0</v>
      </c>
      <c r="N213" t="n">
        <v>0</v>
      </c>
      <c r="O213" t="n">
        <v>0</v>
      </c>
      <c r="P213" t="n">
        <v>0</v>
      </c>
      <c r="Q213" t="n">
        <v>0</v>
      </c>
      <c r="R213" s="2" t="inlineStr"/>
    </row>
    <row r="214" ht="15" customHeight="1">
      <c r="A214" t="inlineStr">
        <is>
          <t>A 33801-2024</t>
        </is>
      </c>
      <c r="B214" s="1" t="n">
        <v>45520</v>
      </c>
      <c r="C214" s="1" t="n">
        <v>46195</v>
      </c>
      <c r="D214" t="inlineStr">
        <is>
          <t>VÄSTERBOTTENS LÄN</t>
        </is>
      </c>
      <c r="E214" t="inlineStr">
        <is>
          <t>STORUMAN</t>
        </is>
      </c>
      <c r="F214" t="inlineStr">
        <is>
          <t>Sveaskog</t>
        </is>
      </c>
      <c r="G214" t="n">
        <v>6</v>
      </c>
      <c r="H214" t="n">
        <v>0</v>
      </c>
      <c r="I214" t="n">
        <v>0</v>
      </c>
      <c r="J214" t="n">
        <v>0</v>
      </c>
      <c r="K214" t="n">
        <v>0</v>
      </c>
      <c r="L214" t="n">
        <v>0</v>
      </c>
      <c r="M214" t="n">
        <v>0</v>
      </c>
      <c r="N214" t="n">
        <v>0</v>
      </c>
      <c r="O214" t="n">
        <v>0</v>
      </c>
      <c r="P214" t="n">
        <v>0</v>
      </c>
      <c r="Q214" t="n">
        <v>0</v>
      </c>
      <c r="R214" s="2" t="inlineStr"/>
    </row>
    <row r="215" ht="15" customHeight="1">
      <c r="A215" t="inlineStr">
        <is>
          <t>A 33854-2024</t>
        </is>
      </c>
      <c r="B215" s="1" t="n">
        <v>45520</v>
      </c>
      <c r="C215" s="1" t="n">
        <v>46195</v>
      </c>
      <c r="D215" t="inlineStr">
        <is>
          <t>VÄSTERBOTTENS LÄN</t>
        </is>
      </c>
      <c r="E215" t="inlineStr">
        <is>
          <t>STORUMAN</t>
        </is>
      </c>
      <c r="F215" t="inlineStr">
        <is>
          <t>Sveaskog</t>
        </is>
      </c>
      <c r="G215" t="n">
        <v>8.4</v>
      </c>
      <c r="H215" t="n">
        <v>0</v>
      </c>
      <c r="I215" t="n">
        <v>0</v>
      </c>
      <c r="J215" t="n">
        <v>0</v>
      </c>
      <c r="K215" t="n">
        <v>0</v>
      </c>
      <c r="L215" t="n">
        <v>0</v>
      </c>
      <c r="M215" t="n">
        <v>0</v>
      </c>
      <c r="N215" t="n">
        <v>0</v>
      </c>
      <c r="O215" t="n">
        <v>0</v>
      </c>
      <c r="P215" t="n">
        <v>0</v>
      </c>
      <c r="Q215" t="n">
        <v>0</v>
      </c>
      <c r="R215" s="2" t="inlineStr"/>
    </row>
    <row r="216" ht="15" customHeight="1">
      <c r="A216" t="inlineStr">
        <is>
          <t>A 15339-2023</t>
        </is>
      </c>
      <c r="B216" s="1" t="n">
        <v>45016</v>
      </c>
      <c r="C216" s="1" t="n">
        <v>46195</v>
      </c>
      <c r="D216" t="inlineStr">
        <is>
          <t>VÄSTERBOTTENS LÄN</t>
        </is>
      </c>
      <c r="E216" t="inlineStr">
        <is>
          <t>STORUMAN</t>
        </is>
      </c>
      <c r="G216" t="n">
        <v>97.5</v>
      </c>
      <c r="H216" t="n">
        <v>0</v>
      </c>
      <c r="I216" t="n">
        <v>0</v>
      </c>
      <c r="J216" t="n">
        <v>0</v>
      </c>
      <c r="K216" t="n">
        <v>0</v>
      </c>
      <c r="L216" t="n">
        <v>0</v>
      </c>
      <c r="M216" t="n">
        <v>0</v>
      </c>
      <c r="N216" t="n">
        <v>0</v>
      </c>
      <c r="O216" t="n">
        <v>0</v>
      </c>
      <c r="P216" t="n">
        <v>0</v>
      </c>
      <c r="Q216" t="n">
        <v>0</v>
      </c>
      <c r="R216" s="2" t="inlineStr"/>
    </row>
    <row r="217" ht="15" customHeight="1">
      <c r="A217" t="inlineStr">
        <is>
          <t>A 48332-2021</t>
        </is>
      </c>
      <c r="B217" s="1" t="n">
        <v>44451</v>
      </c>
      <c r="C217" s="1" t="n">
        <v>46195</v>
      </c>
      <c r="D217" t="inlineStr">
        <is>
          <t>VÄSTERBOTTENS LÄN</t>
        </is>
      </c>
      <c r="E217" t="inlineStr">
        <is>
          <t>STORUMAN</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49769-2025</t>
        </is>
      </c>
      <c r="B218" s="1" t="n">
        <v>45940</v>
      </c>
      <c r="C218" s="1" t="n">
        <v>46195</v>
      </c>
      <c r="D218" t="inlineStr">
        <is>
          <t>VÄSTERBOTTENS LÄN</t>
        </is>
      </c>
      <c r="E218" t="inlineStr">
        <is>
          <t>STORUMAN</t>
        </is>
      </c>
      <c r="G218" t="n">
        <v>1.5</v>
      </c>
      <c r="H218" t="n">
        <v>0</v>
      </c>
      <c r="I218" t="n">
        <v>0</v>
      </c>
      <c r="J218" t="n">
        <v>0</v>
      </c>
      <c r="K218" t="n">
        <v>0</v>
      </c>
      <c r="L218" t="n">
        <v>0</v>
      </c>
      <c r="M218" t="n">
        <v>0</v>
      </c>
      <c r="N218" t="n">
        <v>0</v>
      </c>
      <c r="O218" t="n">
        <v>0</v>
      </c>
      <c r="P218" t="n">
        <v>0</v>
      </c>
      <c r="Q218" t="n">
        <v>0</v>
      </c>
      <c r="R218" s="2" t="inlineStr"/>
    </row>
    <row r="219" ht="15" customHeight="1">
      <c r="A219" t="inlineStr">
        <is>
          <t>A 5898-2022</t>
        </is>
      </c>
      <c r="B219" s="1" t="n">
        <v>44596</v>
      </c>
      <c r="C219" s="1" t="n">
        <v>46195</v>
      </c>
      <c r="D219" t="inlineStr">
        <is>
          <t>VÄSTERBOTTENS LÄN</t>
        </is>
      </c>
      <c r="E219" t="inlineStr">
        <is>
          <t>STORUMAN</t>
        </is>
      </c>
      <c r="G219" t="n">
        <v>20.2</v>
      </c>
      <c r="H219" t="n">
        <v>0</v>
      </c>
      <c r="I219" t="n">
        <v>0</v>
      </c>
      <c r="J219" t="n">
        <v>0</v>
      </c>
      <c r="K219" t="n">
        <v>0</v>
      </c>
      <c r="L219" t="n">
        <v>0</v>
      </c>
      <c r="M219" t="n">
        <v>0</v>
      </c>
      <c r="N219" t="n">
        <v>0</v>
      </c>
      <c r="O219" t="n">
        <v>0</v>
      </c>
      <c r="P219" t="n">
        <v>0</v>
      </c>
      <c r="Q219" t="n">
        <v>0</v>
      </c>
      <c r="R219" s="2" t="inlineStr"/>
    </row>
    <row r="220" ht="15" customHeight="1">
      <c r="A220" t="inlineStr">
        <is>
          <t>A 58787-2024</t>
        </is>
      </c>
      <c r="B220" s="1" t="n">
        <v>45635</v>
      </c>
      <c r="C220" s="1" t="n">
        <v>46195</v>
      </c>
      <c r="D220" t="inlineStr">
        <is>
          <t>VÄSTERBOTTENS LÄN</t>
        </is>
      </c>
      <c r="E220" t="inlineStr">
        <is>
          <t>STORUMAN</t>
        </is>
      </c>
      <c r="G220" t="n">
        <v>17.4</v>
      </c>
      <c r="H220" t="n">
        <v>0</v>
      </c>
      <c r="I220" t="n">
        <v>0</v>
      </c>
      <c r="J220" t="n">
        <v>0</v>
      </c>
      <c r="K220" t="n">
        <v>0</v>
      </c>
      <c r="L220" t="n">
        <v>0</v>
      </c>
      <c r="M220" t="n">
        <v>0</v>
      </c>
      <c r="N220" t="n">
        <v>0</v>
      </c>
      <c r="O220" t="n">
        <v>0</v>
      </c>
      <c r="P220" t="n">
        <v>0</v>
      </c>
      <c r="Q220" t="n">
        <v>0</v>
      </c>
      <c r="R220" s="2" t="inlineStr"/>
    </row>
    <row r="221" ht="15" customHeight="1">
      <c r="A221" t="inlineStr">
        <is>
          <t>A 50087-2025</t>
        </is>
      </c>
      <c r="B221" s="1" t="n">
        <v>45943</v>
      </c>
      <c r="C221" s="1" t="n">
        <v>46195</v>
      </c>
      <c r="D221" t="inlineStr">
        <is>
          <t>VÄSTERBOTTENS LÄN</t>
        </is>
      </c>
      <c r="E221" t="inlineStr">
        <is>
          <t>STORUMAN</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37429-2022</t>
        </is>
      </c>
      <c r="B222" s="1" t="n">
        <v>44809</v>
      </c>
      <c r="C222" s="1" t="n">
        <v>46195</v>
      </c>
      <c r="D222" t="inlineStr">
        <is>
          <t>VÄSTERBOTTENS LÄN</t>
        </is>
      </c>
      <c r="E222" t="inlineStr">
        <is>
          <t>STORUMAN</t>
        </is>
      </c>
      <c r="G222" t="n">
        <v>3</v>
      </c>
      <c r="H222" t="n">
        <v>0</v>
      </c>
      <c r="I222" t="n">
        <v>0</v>
      </c>
      <c r="J222" t="n">
        <v>0</v>
      </c>
      <c r="K222" t="n">
        <v>0</v>
      </c>
      <c r="L222" t="n">
        <v>0</v>
      </c>
      <c r="M222" t="n">
        <v>0</v>
      </c>
      <c r="N222" t="n">
        <v>0</v>
      </c>
      <c r="O222" t="n">
        <v>0</v>
      </c>
      <c r="P222" t="n">
        <v>0</v>
      </c>
      <c r="Q222" t="n">
        <v>0</v>
      </c>
      <c r="R222" s="2" t="inlineStr"/>
    </row>
    <row r="223" ht="15" customHeight="1">
      <c r="A223" t="inlineStr">
        <is>
          <t>A 50083-2025</t>
        </is>
      </c>
      <c r="B223" s="1" t="n">
        <v>45943</v>
      </c>
      <c r="C223" s="1" t="n">
        <v>46195</v>
      </c>
      <c r="D223" t="inlineStr">
        <is>
          <t>VÄSTERBOTTENS LÄN</t>
        </is>
      </c>
      <c r="E223" t="inlineStr">
        <is>
          <t>STORUMAN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50071-2025</t>
        </is>
      </c>
      <c r="B224" s="1" t="n">
        <v>45943</v>
      </c>
      <c r="C224" s="1" t="n">
        <v>46195</v>
      </c>
      <c r="D224" t="inlineStr">
        <is>
          <t>VÄSTERBOTTENS LÄN</t>
        </is>
      </c>
      <c r="E224" t="inlineStr">
        <is>
          <t>STORUMAN</t>
        </is>
      </c>
      <c r="F224" t="inlineStr">
        <is>
          <t>Sveaskog</t>
        </is>
      </c>
      <c r="G224" t="n">
        <v>5.4</v>
      </c>
      <c r="H224" t="n">
        <v>0</v>
      </c>
      <c r="I224" t="n">
        <v>0</v>
      </c>
      <c r="J224" t="n">
        <v>0</v>
      </c>
      <c r="K224" t="n">
        <v>0</v>
      </c>
      <c r="L224" t="n">
        <v>0</v>
      </c>
      <c r="M224" t="n">
        <v>0</v>
      </c>
      <c r="N224" t="n">
        <v>0</v>
      </c>
      <c r="O224" t="n">
        <v>0</v>
      </c>
      <c r="P224" t="n">
        <v>0</v>
      </c>
      <c r="Q224" t="n">
        <v>0</v>
      </c>
      <c r="R224" s="2" t="inlineStr"/>
    </row>
    <row r="225" ht="15" customHeight="1">
      <c r="A225" t="inlineStr">
        <is>
          <t>A 50075-2025</t>
        </is>
      </c>
      <c r="B225" s="1" t="n">
        <v>45943</v>
      </c>
      <c r="C225" s="1" t="n">
        <v>46195</v>
      </c>
      <c r="D225" t="inlineStr">
        <is>
          <t>VÄSTERBOTTENS LÄN</t>
        </is>
      </c>
      <c r="E225" t="inlineStr">
        <is>
          <t>STORUMAN</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15386-2024</t>
        </is>
      </c>
      <c r="B226" s="1" t="n">
        <v>45400</v>
      </c>
      <c r="C226" s="1" t="n">
        <v>46195</v>
      </c>
      <c r="D226" t="inlineStr">
        <is>
          <t>VÄSTERBOTTENS LÄN</t>
        </is>
      </c>
      <c r="E226" t="inlineStr">
        <is>
          <t>STORUMAN</t>
        </is>
      </c>
      <c r="G226" t="n">
        <v>5.7</v>
      </c>
      <c r="H226" t="n">
        <v>0</v>
      </c>
      <c r="I226" t="n">
        <v>0</v>
      </c>
      <c r="J226" t="n">
        <v>0</v>
      </c>
      <c r="K226" t="n">
        <v>0</v>
      </c>
      <c r="L226" t="n">
        <v>0</v>
      </c>
      <c r="M226" t="n">
        <v>0</v>
      </c>
      <c r="N226" t="n">
        <v>0</v>
      </c>
      <c r="O226" t="n">
        <v>0</v>
      </c>
      <c r="P226" t="n">
        <v>0</v>
      </c>
      <c r="Q226" t="n">
        <v>0</v>
      </c>
      <c r="R226" s="2" t="inlineStr"/>
    </row>
    <row r="227" ht="15" customHeight="1">
      <c r="A227" t="inlineStr">
        <is>
          <t>A 14823-2024</t>
        </is>
      </c>
      <c r="B227" s="1" t="n">
        <v>45397</v>
      </c>
      <c r="C227" s="1" t="n">
        <v>46195</v>
      </c>
      <c r="D227" t="inlineStr">
        <is>
          <t>VÄSTERBOTTENS LÄN</t>
        </is>
      </c>
      <c r="E227" t="inlineStr">
        <is>
          <t>STORUMAN</t>
        </is>
      </c>
      <c r="G227" t="n">
        <v>18.2</v>
      </c>
      <c r="H227" t="n">
        <v>0</v>
      </c>
      <c r="I227" t="n">
        <v>0</v>
      </c>
      <c r="J227" t="n">
        <v>0</v>
      </c>
      <c r="K227" t="n">
        <v>0</v>
      </c>
      <c r="L227" t="n">
        <v>0</v>
      </c>
      <c r="M227" t="n">
        <v>0</v>
      </c>
      <c r="N227" t="n">
        <v>0</v>
      </c>
      <c r="O227" t="n">
        <v>0</v>
      </c>
      <c r="P227" t="n">
        <v>0</v>
      </c>
      <c r="Q227" t="n">
        <v>0</v>
      </c>
      <c r="R227" s="2" t="inlineStr"/>
    </row>
    <row r="228" ht="15" customHeight="1">
      <c r="A228" t="inlineStr">
        <is>
          <t>A 50737-2025</t>
        </is>
      </c>
      <c r="B228" s="1" t="n">
        <v>45946</v>
      </c>
      <c r="C228" s="1" t="n">
        <v>46195</v>
      </c>
      <c r="D228" t="inlineStr">
        <is>
          <t>VÄSTERBOTTENS LÄN</t>
        </is>
      </c>
      <c r="E228" t="inlineStr">
        <is>
          <t>STORUMAN</t>
        </is>
      </c>
      <c r="G228" t="n">
        <v>1.2</v>
      </c>
      <c r="H228" t="n">
        <v>0</v>
      </c>
      <c r="I228" t="n">
        <v>0</v>
      </c>
      <c r="J228" t="n">
        <v>0</v>
      </c>
      <c r="K228" t="n">
        <v>0</v>
      </c>
      <c r="L228" t="n">
        <v>0</v>
      </c>
      <c r="M228" t="n">
        <v>0</v>
      </c>
      <c r="N228" t="n">
        <v>0</v>
      </c>
      <c r="O228" t="n">
        <v>0</v>
      </c>
      <c r="P228" t="n">
        <v>0</v>
      </c>
      <c r="Q228" t="n">
        <v>0</v>
      </c>
      <c r="R228" s="2" t="inlineStr"/>
    </row>
    <row r="229" ht="15" customHeight="1">
      <c r="A229" t="inlineStr">
        <is>
          <t>A 50740-2025</t>
        </is>
      </c>
      <c r="B229" s="1" t="n">
        <v>45946</v>
      </c>
      <c r="C229" s="1" t="n">
        <v>46195</v>
      </c>
      <c r="D229" t="inlineStr">
        <is>
          <t>VÄSTERBOTTENS LÄN</t>
        </is>
      </c>
      <c r="E229" t="inlineStr">
        <is>
          <t>STORUMAN</t>
        </is>
      </c>
      <c r="G229" t="n">
        <v>11.8</v>
      </c>
      <c r="H229" t="n">
        <v>0</v>
      </c>
      <c r="I229" t="n">
        <v>0</v>
      </c>
      <c r="J229" t="n">
        <v>0</v>
      </c>
      <c r="K229" t="n">
        <v>0</v>
      </c>
      <c r="L229" t="n">
        <v>0</v>
      </c>
      <c r="M229" t="n">
        <v>0</v>
      </c>
      <c r="N229" t="n">
        <v>0</v>
      </c>
      <c r="O229" t="n">
        <v>0</v>
      </c>
      <c r="P229" t="n">
        <v>0</v>
      </c>
      <c r="Q229" t="n">
        <v>0</v>
      </c>
      <c r="R229" s="2" t="inlineStr"/>
    </row>
    <row r="230" ht="15" customHeight="1">
      <c r="A230" t="inlineStr">
        <is>
          <t>A 50729-2025</t>
        </is>
      </c>
      <c r="B230" s="1" t="n">
        <v>45946</v>
      </c>
      <c r="C230" s="1" t="n">
        <v>46195</v>
      </c>
      <c r="D230" t="inlineStr">
        <is>
          <t>VÄSTERBOTTENS LÄN</t>
        </is>
      </c>
      <c r="E230" t="inlineStr">
        <is>
          <t>STORUMAN</t>
        </is>
      </c>
      <c r="G230" t="n">
        <v>35.2</v>
      </c>
      <c r="H230" t="n">
        <v>0</v>
      </c>
      <c r="I230" t="n">
        <v>0</v>
      </c>
      <c r="J230" t="n">
        <v>0</v>
      </c>
      <c r="K230" t="n">
        <v>0</v>
      </c>
      <c r="L230" t="n">
        <v>0</v>
      </c>
      <c r="M230" t="n">
        <v>0</v>
      </c>
      <c r="N230" t="n">
        <v>0</v>
      </c>
      <c r="O230" t="n">
        <v>0</v>
      </c>
      <c r="P230" t="n">
        <v>0</v>
      </c>
      <c r="Q230" t="n">
        <v>0</v>
      </c>
      <c r="R230" s="2" t="inlineStr"/>
    </row>
    <row r="231" ht="15" customHeight="1">
      <c r="A231" t="inlineStr">
        <is>
          <t>A 51045-2025</t>
        </is>
      </c>
      <c r="B231" s="1" t="n">
        <v>45947</v>
      </c>
      <c r="C231" s="1" t="n">
        <v>46195</v>
      </c>
      <c r="D231" t="inlineStr">
        <is>
          <t>VÄSTERBOTTENS LÄN</t>
        </is>
      </c>
      <c r="E231" t="inlineStr">
        <is>
          <t>STORUMAN</t>
        </is>
      </c>
      <c r="G231" t="n">
        <v>6</v>
      </c>
      <c r="H231" t="n">
        <v>0</v>
      </c>
      <c r="I231" t="n">
        <v>0</v>
      </c>
      <c r="J231" t="n">
        <v>0</v>
      </c>
      <c r="K231" t="n">
        <v>0</v>
      </c>
      <c r="L231" t="n">
        <v>0</v>
      </c>
      <c r="M231" t="n">
        <v>0</v>
      </c>
      <c r="N231" t="n">
        <v>0</v>
      </c>
      <c r="O231" t="n">
        <v>0</v>
      </c>
      <c r="P231" t="n">
        <v>0</v>
      </c>
      <c r="Q231" t="n">
        <v>0</v>
      </c>
      <c r="R231" s="2" t="inlineStr"/>
    </row>
    <row r="232" ht="15" customHeight="1">
      <c r="A232" t="inlineStr">
        <is>
          <t>A 7129-2026</t>
        </is>
      </c>
      <c r="B232" s="1" t="n">
        <v>46057</v>
      </c>
      <c r="C232" s="1" t="n">
        <v>46195</v>
      </c>
      <c r="D232" t="inlineStr">
        <is>
          <t>VÄSTERBOTTENS LÄN</t>
        </is>
      </c>
      <c r="E232" t="inlineStr">
        <is>
          <t>STORUMAN</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51038-2025</t>
        </is>
      </c>
      <c r="B233" s="1" t="n">
        <v>45947</v>
      </c>
      <c r="C233" s="1" t="n">
        <v>46195</v>
      </c>
      <c r="D233" t="inlineStr">
        <is>
          <t>VÄSTERBOTTENS LÄN</t>
        </is>
      </c>
      <c r="E233" t="inlineStr">
        <is>
          <t>STORUMAN</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40676-2024</t>
        </is>
      </c>
      <c r="B234" s="1" t="n">
        <v>45558</v>
      </c>
      <c r="C234" s="1" t="n">
        <v>46195</v>
      </c>
      <c r="D234" t="inlineStr">
        <is>
          <t>VÄSTERBOTTENS LÄN</t>
        </is>
      </c>
      <c r="E234" t="inlineStr">
        <is>
          <t>STORUMAN</t>
        </is>
      </c>
      <c r="F234" t="inlineStr">
        <is>
          <t>Holmen skog AB</t>
        </is>
      </c>
      <c r="G234" t="n">
        <v>0.8</v>
      </c>
      <c r="H234" t="n">
        <v>0</v>
      </c>
      <c r="I234" t="n">
        <v>0</v>
      </c>
      <c r="J234" t="n">
        <v>0</v>
      </c>
      <c r="K234" t="n">
        <v>0</v>
      </c>
      <c r="L234" t="n">
        <v>0</v>
      </c>
      <c r="M234" t="n">
        <v>0</v>
      </c>
      <c r="N234" t="n">
        <v>0</v>
      </c>
      <c r="O234" t="n">
        <v>0</v>
      </c>
      <c r="P234" t="n">
        <v>0</v>
      </c>
      <c r="Q234" t="n">
        <v>0</v>
      </c>
      <c r="R234" s="2" t="inlineStr"/>
    </row>
    <row r="235" ht="15" customHeight="1">
      <c r="A235" t="inlineStr">
        <is>
          <t>A 42423-2024</t>
        </is>
      </c>
      <c r="B235" s="1" t="n">
        <v>45565</v>
      </c>
      <c r="C235" s="1" t="n">
        <v>46195</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29747-2023</t>
        </is>
      </c>
      <c r="B236" s="1" t="n">
        <v>45107</v>
      </c>
      <c r="C236" s="1" t="n">
        <v>46195</v>
      </c>
      <c r="D236" t="inlineStr">
        <is>
          <t>VÄSTERBOTTENS LÄN</t>
        </is>
      </c>
      <c r="E236" t="inlineStr">
        <is>
          <t>STORUMAN</t>
        </is>
      </c>
      <c r="F236" t="inlineStr">
        <is>
          <t>Holmen skog AB</t>
        </is>
      </c>
      <c r="G236" t="n">
        <v>13.3</v>
      </c>
      <c r="H236" t="n">
        <v>0</v>
      </c>
      <c r="I236" t="n">
        <v>0</v>
      </c>
      <c r="J236" t="n">
        <v>0</v>
      </c>
      <c r="K236" t="n">
        <v>0</v>
      </c>
      <c r="L236" t="n">
        <v>0</v>
      </c>
      <c r="M236" t="n">
        <v>0</v>
      </c>
      <c r="N236" t="n">
        <v>0</v>
      </c>
      <c r="O236" t="n">
        <v>0</v>
      </c>
      <c r="P236" t="n">
        <v>0</v>
      </c>
      <c r="Q236" t="n">
        <v>0</v>
      </c>
      <c r="R236" s="2" t="inlineStr"/>
    </row>
    <row r="237" ht="15" customHeight="1">
      <c r="A237" t="inlineStr">
        <is>
          <t>A 41847-2024</t>
        </is>
      </c>
      <c r="B237" s="1" t="n">
        <v>45561</v>
      </c>
      <c r="C237" s="1" t="n">
        <v>46195</v>
      </c>
      <c r="D237" t="inlineStr">
        <is>
          <t>VÄSTERBOTTENS LÄN</t>
        </is>
      </c>
      <c r="E237" t="inlineStr">
        <is>
          <t>STORUMAN</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52214-2025</t>
        </is>
      </c>
      <c r="B238" s="1" t="n">
        <v>45953</v>
      </c>
      <c r="C238" s="1" t="n">
        <v>46195</v>
      </c>
      <c r="D238" t="inlineStr">
        <is>
          <t>VÄSTERBOTTENS LÄN</t>
        </is>
      </c>
      <c r="E238" t="inlineStr">
        <is>
          <t>STORUMAN</t>
        </is>
      </c>
      <c r="G238" t="n">
        <v>2.5</v>
      </c>
      <c r="H238" t="n">
        <v>0</v>
      </c>
      <c r="I238" t="n">
        <v>0</v>
      </c>
      <c r="J238" t="n">
        <v>0</v>
      </c>
      <c r="K238" t="n">
        <v>0</v>
      </c>
      <c r="L238" t="n">
        <v>0</v>
      </c>
      <c r="M238" t="n">
        <v>0</v>
      </c>
      <c r="N238" t="n">
        <v>0</v>
      </c>
      <c r="O238" t="n">
        <v>0</v>
      </c>
      <c r="P238" t="n">
        <v>0</v>
      </c>
      <c r="Q238" t="n">
        <v>0</v>
      </c>
      <c r="R238" s="2" t="inlineStr"/>
    </row>
    <row r="239" ht="15" customHeight="1">
      <c r="A239" t="inlineStr">
        <is>
          <t>A 26329-2025</t>
        </is>
      </c>
      <c r="B239" s="1" t="n">
        <v>45805</v>
      </c>
      <c r="C239" s="1" t="n">
        <v>46195</v>
      </c>
      <c r="D239" t="inlineStr">
        <is>
          <t>VÄSTERBOTTENS LÄN</t>
        </is>
      </c>
      <c r="E239" t="inlineStr">
        <is>
          <t>STORUMAN</t>
        </is>
      </c>
      <c r="G239" t="n">
        <v>1.2</v>
      </c>
      <c r="H239" t="n">
        <v>0</v>
      </c>
      <c r="I239" t="n">
        <v>0</v>
      </c>
      <c r="J239" t="n">
        <v>0</v>
      </c>
      <c r="K239" t="n">
        <v>0</v>
      </c>
      <c r="L239" t="n">
        <v>0</v>
      </c>
      <c r="M239" t="n">
        <v>0</v>
      </c>
      <c r="N239" t="n">
        <v>0</v>
      </c>
      <c r="O239" t="n">
        <v>0</v>
      </c>
      <c r="P239" t="n">
        <v>0</v>
      </c>
      <c r="Q239" t="n">
        <v>0</v>
      </c>
      <c r="R239" s="2" t="inlineStr"/>
    </row>
    <row r="240" ht="15" customHeight="1">
      <c r="A240" t="inlineStr">
        <is>
          <t>A 26344-2025</t>
        </is>
      </c>
      <c r="B240" s="1" t="n">
        <v>45805</v>
      </c>
      <c r="C240" s="1" t="n">
        <v>46195</v>
      </c>
      <c r="D240" t="inlineStr">
        <is>
          <t>VÄSTERBOTTENS LÄN</t>
        </is>
      </c>
      <c r="E240" t="inlineStr">
        <is>
          <t>STORUMAN</t>
        </is>
      </c>
      <c r="G240" t="n">
        <v>3.9</v>
      </c>
      <c r="H240" t="n">
        <v>0</v>
      </c>
      <c r="I240" t="n">
        <v>0</v>
      </c>
      <c r="J240" t="n">
        <v>0</v>
      </c>
      <c r="K240" t="n">
        <v>0</v>
      </c>
      <c r="L240" t="n">
        <v>0</v>
      </c>
      <c r="M240" t="n">
        <v>0</v>
      </c>
      <c r="N240" t="n">
        <v>0</v>
      </c>
      <c r="O240" t="n">
        <v>0</v>
      </c>
      <c r="P240" t="n">
        <v>0</v>
      </c>
      <c r="Q240" t="n">
        <v>0</v>
      </c>
      <c r="R240" s="2" t="inlineStr"/>
    </row>
    <row r="241" ht="15" customHeight="1">
      <c r="A241" t="inlineStr">
        <is>
          <t>A 26718-2025</t>
        </is>
      </c>
      <c r="B241" s="1" t="n">
        <v>45810</v>
      </c>
      <c r="C241" s="1" t="n">
        <v>46195</v>
      </c>
      <c r="D241" t="inlineStr">
        <is>
          <t>VÄSTERBOTTENS LÄN</t>
        </is>
      </c>
      <c r="E241" t="inlineStr">
        <is>
          <t>STORUMAN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26768-2025</t>
        </is>
      </c>
      <c r="B242" s="1" t="n">
        <v>45810</v>
      </c>
      <c r="C242" s="1" t="n">
        <v>46195</v>
      </c>
      <c r="D242" t="inlineStr">
        <is>
          <t>VÄSTERBOTTENS LÄN</t>
        </is>
      </c>
      <c r="E242" t="inlineStr">
        <is>
          <t>STORUMAN</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26764-2025</t>
        </is>
      </c>
      <c r="B243" s="1" t="n">
        <v>45810</v>
      </c>
      <c r="C243" s="1" t="n">
        <v>46195</v>
      </c>
      <c r="D243" t="inlineStr">
        <is>
          <t>VÄSTERBOTTENS LÄN</t>
        </is>
      </c>
      <c r="E243" t="inlineStr">
        <is>
          <t>STORUMAN</t>
        </is>
      </c>
      <c r="F243" t="inlineStr">
        <is>
          <t>Sveaskog</t>
        </is>
      </c>
      <c r="G243" t="n">
        <v>12.6</v>
      </c>
      <c r="H243" t="n">
        <v>0</v>
      </c>
      <c r="I243" t="n">
        <v>0</v>
      </c>
      <c r="J243" t="n">
        <v>0</v>
      </c>
      <c r="K243" t="n">
        <v>0</v>
      </c>
      <c r="L243" t="n">
        <v>0</v>
      </c>
      <c r="M243" t="n">
        <v>0</v>
      </c>
      <c r="N243" t="n">
        <v>0</v>
      </c>
      <c r="O243" t="n">
        <v>0</v>
      </c>
      <c r="P243" t="n">
        <v>0</v>
      </c>
      <c r="Q243" t="n">
        <v>0</v>
      </c>
      <c r="R243" s="2" t="inlineStr"/>
    </row>
    <row r="244" ht="15" customHeight="1">
      <c r="A244" t="inlineStr">
        <is>
          <t>A 28957-2023</t>
        </is>
      </c>
      <c r="B244" s="1" t="n">
        <v>45104</v>
      </c>
      <c r="C244" s="1" t="n">
        <v>46195</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44217-2023</t>
        </is>
      </c>
      <c r="B245" s="1" t="n">
        <v>45183</v>
      </c>
      <c r="C245" s="1" t="n">
        <v>46195</v>
      </c>
      <c r="D245" t="inlineStr">
        <is>
          <t>VÄSTERBOTTENS LÄN</t>
        </is>
      </c>
      <c r="E245" t="inlineStr">
        <is>
          <t>STORUMAN</t>
        </is>
      </c>
      <c r="G245" t="n">
        <v>14.3</v>
      </c>
      <c r="H245" t="n">
        <v>0</v>
      </c>
      <c r="I245" t="n">
        <v>0</v>
      </c>
      <c r="J245" t="n">
        <v>0</v>
      </c>
      <c r="K245" t="n">
        <v>0</v>
      </c>
      <c r="L245" t="n">
        <v>0</v>
      </c>
      <c r="M245" t="n">
        <v>0</v>
      </c>
      <c r="N245" t="n">
        <v>0</v>
      </c>
      <c r="O245" t="n">
        <v>0</v>
      </c>
      <c r="P245" t="n">
        <v>0</v>
      </c>
      <c r="Q245" t="n">
        <v>0</v>
      </c>
      <c r="R245" s="2" t="inlineStr"/>
    </row>
    <row r="246" ht="15" customHeight="1">
      <c r="A246" t="inlineStr">
        <is>
          <t>A 26729-2025</t>
        </is>
      </c>
      <c r="B246" s="1" t="n">
        <v>45810</v>
      </c>
      <c r="C246" s="1" t="n">
        <v>46195</v>
      </c>
      <c r="D246" t="inlineStr">
        <is>
          <t>VÄSTERBOTTENS LÄN</t>
        </is>
      </c>
      <c r="E246" t="inlineStr">
        <is>
          <t>STORUMAN</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53143-2024</t>
        </is>
      </c>
      <c r="B247" s="1" t="n">
        <v>45611</v>
      </c>
      <c r="C247" s="1" t="n">
        <v>46195</v>
      </c>
      <c r="D247" t="inlineStr">
        <is>
          <t>VÄSTERBOTTENS LÄN</t>
        </is>
      </c>
      <c r="E247" t="inlineStr">
        <is>
          <t>STORUMAN</t>
        </is>
      </c>
      <c r="F247" t="inlineStr">
        <is>
          <t>Allmännings- och besparingsskogar</t>
        </is>
      </c>
      <c r="G247" t="n">
        <v>5.1</v>
      </c>
      <c r="H247" t="n">
        <v>0</v>
      </c>
      <c r="I247" t="n">
        <v>0</v>
      </c>
      <c r="J247" t="n">
        <v>0</v>
      </c>
      <c r="K247" t="n">
        <v>0</v>
      </c>
      <c r="L247" t="n">
        <v>0</v>
      </c>
      <c r="M247" t="n">
        <v>0</v>
      </c>
      <c r="N247" t="n">
        <v>0</v>
      </c>
      <c r="O247" t="n">
        <v>0</v>
      </c>
      <c r="P247" t="n">
        <v>0</v>
      </c>
      <c r="Q247" t="n">
        <v>0</v>
      </c>
      <c r="R247" s="2" t="inlineStr"/>
    </row>
    <row r="248" ht="15" customHeight="1">
      <c r="A248" t="inlineStr">
        <is>
          <t>A 244-2024</t>
        </is>
      </c>
      <c r="B248" s="1" t="n">
        <v>45294</v>
      </c>
      <c r="C248" s="1" t="n">
        <v>46195</v>
      </c>
      <c r="D248" t="inlineStr">
        <is>
          <t>VÄSTERBOTTENS LÄN</t>
        </is>
      </c>
      <c r="E248" t="inlineStr">
        <is>
          <t>STORUMAN</t>
        </is>
      </c>
      <c r="G248" t="n">
        <v>6.6</v>
      </c>
      <c r="H248" t="n">
        <v>0</v>
      </c>
      <c r="I248" t="n">
        <v>0</v>
      </c>
      <c r="J248" t="n">
        <v>0</v>
      </c>
      <c r="K248" t="n">
        <v>0</v>
      </c>
      <c r="L248" t="n">
        <v>0</v>
      </c>
      <c r="M248" t="n">
        <v>0</v>
      </c>
      <c r="N248" t="n">
        <v>0</v>
      </c>
      <c r="O248" t="n">
        <v>0</v>
      </c>
      <c r="P248" t="n">
        <v>0</v>
      </c>
      <c r="Q248" t="n">
        <v>0</v>
      </c>
      <c r="R248" s="2" t="inlineStr"/>
    </row>
    <row r="249" ht="15" customHeight="1">
      <c r="A249" t="inlineStr">
        <is>
          <t>A 51796-2024</t>
        </is>
      </c>
      <c r="B249" s="1" t="n">
        <v>45604</v>
      </c>
      <c r="C249" s="1" t="n">
        <v>46195</v>
      </c>
      <c r="D249" t="inlineStr">
        <is>
          <t>VÄSTERBOTTENS LÄN</t>
        </is>
      </c>
      <c r="E249" t="inlineStr">
        <is>
          <t>STORUMAN</t>
        </is>
      </c>
      <c r="F249" t="inlineStr">
        <is>
          <t>Allmännings- och besparingsskogar</t>
        </is>
      </c>
      <c r="G249" t="n">
        <v>37.6</v>
      </c>
      <c r="H249" t="n">
        <v>0</v>
      </c>
      <c r="I249" t="n">
        <v>0</v>
      </c>
      <c r="J249" t="n">
        <v>0</v>
      </c>
      <c r="K249" t="n">
        <v>0</v>
      </c>
      <c r="L249" t="n">
        <v>0</v>
      </c>
      <c r="M249" t="n">
        <v>0</v>
      </c>
      <c r="N249" t="n">
        <v>0</v>
      </c>
      <c r="O249" t="n">
        <v>0</v>
      </c>
      <c r="P249" t="n">
        <v>0</v>
      </c>
      <c r="Q249" t="n">
        <v>0</v>
      </c>
      <c r="R249" s="2" t="inlineStr"/>
    </row>
    <row r="250" ht="15" customHeight="1">
      <c r="A250" t="inlineStr">
        <is>
          <t>A 35374-2024</t>
        </is>
      </c>
      <c r="B250" s="1" t="n">
        <v>45531</v>
      </c>
      <c r="C250" s="1" t="n">
        <v>46195</v>
      </c>
      <c r="D250" t="inlineStr">
        <is>
          <t>VÄSTERBOTTENS LÄN</t>
        </is>
      </c>
      <c r="E250" t="inlineStr">
        <is>
          <t>STORUMAN</t>
        </is>
      </c>
      <c r="G250" t="n">
        <v>4.5</v>
      </c>
      <c r="H250" t="n">
        <v>0</v>
      </c>
      <c r="I250" t="n">
        <v>0</v>
      </c>
      <c r="J250" t="n">
        <v>0</v>
      </c>
      <c r="K250" t="n">
        <v>0</v>
      </c>
      <c r="L250" t="n">
        <v>0</v>
      </c>
      <c r="M250" t="n">
        <v>0</v>
      </c>
      <c r="N250" t="n">
        <v>0</v>
      </c>
      <c r="O250" t="n">
        <v>0</v>
      </c>
      <c r="P250" t="n">
        <v>0</v>
      </c>
      <c r="Q250" t="n">
        <v>0</v>
      </c>
      <c r="R250" s="2" t="inlineStr"/>
    </row>
    <row r="251" ht="15" customHeight="1">
      <c r="A251" t="inlineStr">
        <is>
          <t>A 53148-2024</t>
        </is>
      </c>
      <c r="B251" s="1" t="n">
        <v>45611</v>
      </c>
      <c r="C251" s="1" t="n">
        <v>46195</v>
      </c>
      <c r="D251" t="inlineStr">
        <is>
          <t>VÄSTERBOTTENS LÄN</t>
        </is>
      </c>
      <c r="E251" t="inlineStr">
        <is>
          <t>STORUMAN</t>
        </is>
      </c>
      <c r="F251" t="inlineStr">
        <is>
          <t>Allmännings- och besparingsskogar</t>
        </is>
      </c>
      <c r="G251" t="n">
        <v>117.5</v>
      </c>
      <c r="H251" t="n">
        <v>0</v>
      </c>
      <c r="I251" t="n">
        <v>0</v>
      </c>
      <c r="J251" t="n">
        <v>0</v>
      </c>
      <c r="K251" t="n">
        <v>0</v>
      </c>
      <c r="L251" t="n">
        <v>0</v>
      </c>
      <c r="M251" t="n">
        <v>0</v>
      </c>
      <c r="N251" t="n">
        <v>0</v>
      </c>
      <c r="O251" t="n">
        <v>0</v>
      </c>
      <c r="P251" t="n">
        <v>0</v>
      </c>
      <c r="Q251" t="n">
        <v>0</v>
      </c>
      <c r="R251" s="2" t="inlineStr"/>
    </row>
    <row r="252" ht="15" customHeight="1">
      <c r="A252" t="inlineStr">
        <is>
          <t>A 3544-2025</t>
        </is>
      </c>
      <c r="B252" s="1" t="n">
        <v>45680</v>
      </c>
      <c r="C252" s="1" t="n">
        <v>46195</v>
      </c>
      <c r="D252" t="inlineStr">
        <is>
          <t>VÄSTERBOTTENS LÄN</t>
        </is>
      </c>
      <c r="E252" t="inlineStr">
        <is>
          <t>STORUMAN</t>
        </is>
      </c>
      <c r="G252" t="n">
        <v>19.3</v>
      </c>
      <c r="H252" t="n">
        <v>0</v>
      </c>
      <c r="I252" t="n">
        <v>0</v>
      </c>
      <c r="J252" t="n">
        <v>0</v>
      </c>
      <c r="K252" t="n">
        <v>0</v>
      </c>
      <c r="L252" t="n">
        <v>0</v>
      </c>
      <c r="M252" t="n">
        <v>0</v>
      </c>
      <c r="N252" t="n">
        <v>0</v>
      </c>
      <c r="O252" t="n">
        <v>0</v>
      </c>
      <c r="P252" t="n">
        <v>0</v>
      </c>
      <c r="Q252" t="n">
        <v>0</v>
      </c>
      <c r="R252" s="2" t="inlineStr"/>
    </row>
    <row r="253" ht="15" customHeight="1">
      <c r="A253" t="inlineStr">
        <is>
          <t>A 55230-2025</t>
        </is>
      </c>
      <c r="B253" s="1" t="n">
        <v>45968</v>
      </c>
      <c r="C253" s="1" t="n">
        <v>46195</v>
      </c>
      <c r="D253" t="inlineStr">
        <is>
          <t>VÄSTERBOTTENS LÄN</t>
        </is>
      </c>
      <c r="E253" t="inlineStr">
        <is>
          <t>STORUMAN</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33737-2024</t>
        </is>
      </c>
      <c r="B254" s="1" t="n">
        <v>45520</v>
      </c>
      <c r="C254" s="1" t="n">
        <v>46195</v>
      </c>
      <c r="D254" t="inlineStr">
        <is>
          <t>VÄSTERBOTTENS LÄN</t>
        </is>
      </c>
      <c r="E254" t="inlineStr">
        <is>
          <t>STORUMAN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27112-2026</t>
        </is>
      </c>
      <c r="B255" s="1" t="n">
        <v>46188</v>
      </c>
      <c r="C255" s="1" t="n">
        <v>46195</v>
      </c>
      <c r="D255" t="inlineStr">
        <is>
          <t>VÄSTERBOTTENS LÄN</t>
        </is>
      </c>
      <c r="E255" t="inlineStr">
        <is>
          <t>STORUMAN</t>
        </is>
      </c>
      <c r="G255" t="n">
        <v>12.7</v>
      </c>
      <c r="H255" t="n">
        <v>0</v>
      </c>
      <c r="I255" t="n">
        <v>0</v>
      </c>
      <c r="J255" t="n">
        <v>0</v>
      </c>
      <c r="K255" t="n">
        <v>0</v>
      </c>
      <c r="L255" t="n">
        <v>0</v>
      </c>
      <c r="M255" t="n">
        <v>0</v>
      </c>
      <c r="N255" t="n">
        <v>0</v>
      </c>
      <c r="O255" t="n">
        <v>0</v>
      </c>
      <c r="P255" t="n">
        <v>0</v>
      </c>
      <c r="Q255" t="n">
        <v>0</v>
      </c>
      <c r="R255" s="2" t="inlineStr"/>
    </row>
    <row r="256" ht="15" customHeight="1">
      <c r="A256" t="inlineStr">
        <is>
          <t>A 55378-2025</t>
        </is>
      </c>
      <c r="B256" s="1" t="n">
        <v>45971</v>
      </c>
      <c r="C256" s="1" t="n">
        <v>46195</v>
      </c>
      <c r="D256" t="inlineStr">
        <is>
          <t>VÄSTERBOTTENS LÄN</t>
        </is>
      </c>
      <c r="E256" t="inlineStr">
        <is>
          <t>STORUMAN</t>
        </is>
      </c>
      <c r="G256" t="n">
        <v>5.5</v>
      </c>
      <c r="H256" t="n">
        <v>0</v>
      </c>
      <c r="I256" t="n">
        <v>0</v>
      </c>
      <c r="J256" t="n">
        <v>0</v>
      </c>
      <c r="K256" t="n">
        <v>0</v>
      </c>
      <c r="L256" t="n">
        <v>0</v>
      </c>
      <c r="M256" t="n">
        <v>0</v>
      </c>
      <c r="N256" t="n">
        <v>0</v>
      </c>
      <c r="O256" t="n">
        <v>0</v>
      </c>
      <c r="P256" t="n">
        <v>0</v>
      </c>
      <c r="Q256" t="n">
        <v>0</v>
      </c>
      <c r="R256" s="2" t="inlineStr"/>
    </row>
    <row r="257" ht="15" customHeight="1">
      <c r="A257" t="inlineStr">
        <is>
          <t>A 33836-2024</t>
        </is>
      </c>
      <c r="B257" s="1" t="n">
        <v>45520</v>
      </c>
      <c r="C257" s="1" t="n">
        <v>46195</v>
      </c>
      <c r="D257" t="inlineStr">
        <is>
          <t>VÄSTERBOTTENS LÄN</t>
        </is>
      </c>
      <c r="E257" t="inlineStr">
        <is>
          <t>STORUMAN</t>
        </is>
      </c>
      <c r="F257" t="inlineStr">
        <is>
          <t>Sveaskog</t>
        </is>
      </c>
      <c r="G257" t="n">
        <v>6.5</v>
      </c>
      <c r="H257" t="n">
        <v>0</v>
      </c>
      <c r="I257" t="n">
        <v>0</v>
      </c>
      <c r="J257" t="n">
        <v>0</v>
      </c>
      <c r="K257" t="n">
        <v>0</v>
      </c>
      <c r="L257" t="n">
        <v>0</v>
      </c>
      <c r="M257" t="n">
        <v>0</v>
      </c>
      <c r="N257" t="n">
        <v>0</v>
      </c>
      <c r="O257" t="n">
        <v>0</v>
      </c>
      <c r="P257" t="n">
        <v>0</v>
      </c>
      <c r="Q257" t="n">
        <v>0</v>
      </c>
      <c r="R257" s="2" t="inlineStr"/>
    </row>
    <row r="258" ht="15" customHeight="1">
      <c r="A258" t="inlineStr">
        <is>
          <t>A 26106-2025</t>
        </is>
      </c>
      <c r="B258" s="1" t="n">
        <v>45805</v>
      </c>
      <c r="C258" s="1" t="n">
        <v>46195</v>
      </c>
      <c r="D258" t="inlineStr">
        <is>
          <t>VÄSTERBOTTENS LÄN</t>
        </is>
      </c>
      <c r="E258" t="inlineStr">
        <is>
          <t>STORUMAN</t>
        </is>
      </c>
      <c r="F258" t="inlineStr">
        <is>
          <t>Allmännings- och besparingsskogar</t>
        </is>
      </c>
      <c r="G258" t="n">
        <v>3</v>
      </c>
      <c r="H258" t="n">
        <v>0</v>
      </c>
      <c r="I258" t="n">
        <v>0</v>
      </c>
      <c r="J258" t="n">
        <v>0</v>
      </c>
      <c r="K258" t="n">
        <v>0</v>
      </c>
      <c r="L258" t="n">
        <v>0</v>
      </c>
      <c r="M258" t="n">
        <v>0</v>
      </c>
      <c r="N258" t="n">
        <v>0</v>
      </c>
      <c r="O258" t="n">
        <v>0</v>
      </c>
      <c r="P258" t="n">
        <v>0</v>
      </c>
      <c r="Q258" t="n">
        <v>0</v>
      </c>
      <c r="R258" s="2" t="inlineStr"/>
    </row>
    <row r="259" ht="15" customHeight="1">
      <c r="A259" t="inlineStr">
        <is>
          <t>A 5908-2024</t>
        </is>
      </c>
      <c r="B259" s="1" t="n">
        <v>45335</v>
      </c>
      <c r="C259" s="1" t="n">
        <v>46195</v>
      </c>
      <c r="D259" t="inlineStr">
        <is>
          <t>VÄSTERBOTTENS LÄN</t>
        </is>
      </c>
      <c r="E259" t="inlineStr">
        <is>
          <t>STORUMAN</t>
        </is>
      </c>
      <c r="G259" t="n">
        <v>0.6</v>
      </c>
      <c r="H259" t="n">
        <v>0</v>
      </c>
      <c r="I259" t="n">
        <v>0</v>
      </c>
      <c r="J259" t="n">
        <v>0</v>
      </c>
      <c r="K259" t="n">
        <v>0</v>
      </c>
      <c r="L259" t="n">
        <v>0</v>
      </c>
      <c r="M259" t="n">
        <v>0</v>
      </c>
      <c r="N259" t="n">
        <v>0</v>
      </c>
      <c r="O259" t="n">
        <v>0</v>
      </c>
      <c r="P259" t="n">
        <v>0</v>
      </c>
      <c r="Q259" t="n">
        <v>0</v>
      </c>
      <c r="R259" s="2" t="inlineStr"/>
    </row>
    <row r="260" ht="15" customHeight="1">
      <c r="A260" t="inlineStr">
        <is>
          <t>A 71850-2021</t>
        </is>
      </c>
      <c r="B260" s="1" t="n">
        <v>44543</v>
      </c>
      <c r="C260" s="1" t="n">
        <v>46195</v>
      </c>
      <c r="D260" t="inlineStr">
        <is>
          <t>VÄSTERBOTTENS LÄN</t>
        </is>
      </c>
      <c r="E260" t="inlineStr">
        <is>
          <t>STORUMAN</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12802-2026</t>
        </is>
      </c>
      <c r="B261" s="1" t="n">
        <v>46091</v>
      </c>
      <c r="C261" s="1" t="n">
        <v>46195</v>
      </c>
      <c r="D261" t="inlineStr">
        <is>
          <t>VÄSTERBOTTENS LÄN</t>
        </is>
      </c>
      <c r="E261" t="inlineStr">
        <is>
          <t>STORUMAN</t>
        </is>
      </c>
      <c r="G261" t="n">
        <v>6.2</v>
      </c>
      <c r="H261" t="n">
        <v>0</v>
      </c>
      <c r="I261" t="n">
        <v>0</v>
      </c>
      <c r="J261" t="n">
        <v>0</v>
      </c>
      <c r="K261" t="n">
        <v>0</v>
      </c>
      <c r="L261" t="n">
        <v>0</v>
      </c>
      <c r="M261" t="n">
        <v>0</v>
      </c>
      <c r="N261" t="n">
        <v>0</v>
      </c>
      <c r="O261" t="n">
        <v>0</v>
      </c>
      <c r="P261" t="n">
        <v>0</v>
      </c>
      <c r="Q261" t="n">
        <v>0</v>
      </c>
      <c r="R261" s="2" t="inlineStr"/>
    </row>
    <row r="262" ht="15" customHeight="1">
      <c r="A262" t="inlineStr">
        <is>
          <t>A 24932-2024</t>
        </is>
      </c>
      <c r="B262" s="1" t="n">
        <v>45461</v>
      </c>
      <c r="C262" s="1" t="n">
        <v>46195</v>
      </c>
      <c r="D262" t="inlineStr">
        <is>
          <t>VÄSTERBOTTENS LÄN</t>
        </is>
      </c>
      <c r="E262" t="inlineStr">
        <is>
          <t>STORUMAN</t>
        </is>
      </c>
      <c r="G262" t="n">
        <v>7.1</v>
      </c>
      <c r="H262" t="n">
        <v>0</v>
      </c>
      <c r="I262" t="n">
        <v>0</v>
      </c>
      <c r="J262" t="n">
        <v>0</v>
      </c>
      <c r="K262" t="n">
        <v>0</v>
      </c>
      <c r="L262" t="n">
        <v>0</v>
      </c>
      <c r="M262" t="n">
        <v>0</v>
      </c>
      <c r="N262" t="n">
        <v>0</v>
      </c>
      <c r="O262" t="n">
        <v>0</v>
      </c>
      <c r="P262" t="n">
        <v>0</v>
      </c>
      <c r="Q262" t="n">
        <v>0</v>
      </c>
      <c r="R262" s="2" t="inlineStr"/>
    </row>
    <row r="263" ht="15" customHeight="1">
      <c r="A263" t="inlineStr">
        <is>
          <t>A 56533-2021</t>
        </is>
      </c>
      <c r="B263" s="1" t="n">
        <v>44480</v>
      </c>
      <c r="C263" s="1" t="n">
        <v>46195</v>
      </c>
      <c r="D263" t="inlineStr">
        <is>
          <t>VÄSTERBOTTENS LÄN</t>
        </is>
      </c>
      <c r="E263" t="inlineStr">
        <is>
          <t>STORUMAN</t>
        </is>
      </c>
      <c r="G263" t="n">
        <v>19.4</v>
      </c>
      <c r="H263" t="n">
        <v>0</v>
      </c>
      <c r="I263" t="n">
        <v>0</v>
      </c>
      <c r="J263" t="n">
        <v>0</v>
      </c>
      <c r="K263" t="n">
        <v>0</v>
      </c>
      <c r="L263" t="n">
        <v>0</v>
      </c>
      <c r="M263" t="n">
        <v>0</v>
      </c>
      <c r="N263" t="n">
        <v>0</v>
      </c>
      <c r="O263" t="n">
        <v>0</v>
      </c>
      <c r="P263" t="n">
        <v>0</v>
      </c>
      <c r="Q263" t="n">
        <v>0</v>
      </c>
      <c r="R263" s="2" t="inlineStr"/>
    </row>
    <row r="264" ht="15" customHeight="1">
      <c r="A264" t="inlineStr">
        <is>
          <t>A 57577-2025</t>
        </is>
      </c>
      <c r="B264" s="1" t="n">
        <v>45980</v>
      </c>
      <c r="C264" s="1" t="n">
        <v>46195</v>
      </c>
      <c r="D264" t="inlineStr">
        <is>
          <t>VÄSTERBOTTENS LÄN</t>
        </is>
      </c>
      <c r="E264" t="inlineStr">
        <is>
          <t>STORUMAN</t>
        </is>
      </c>
      <c r="G264" t="n">
        <v>5.4</v>
      </c>
      <c r="H264" t="n">
        <v>0</v>
      </c>
      <c r="I264" t="n">
        <v>0</v>
      </c>
      <c r="J264" t="n">
        <v>0</v>
      </c>
      <c r="K264" t="n">
        <v>0</v>
      </c>
      <c r="L264" t="n">
        <v>0</v>
      </c>
      <c r="M264" t="n">
        <v>0</v>
      </c>
      <c r="N264" t="n">
        <v>0</v>
      </c>
      <c r="O264" t="n">
        <v>0</v>
      </c>
      <c r="P264" t="n">
        <v>0</v>
      </c>
      <c r="Q264" t="n">
        <v>0</v>
      </c>
      <c r="R264" s="2" t="inlineStr"/>
    </row>
    <row r="265" ht="15" customHeight="1">
      <c r="A265" t="inlineStr">
        <is>
          <t>A 57578-2025</t>
        </is>
      </c>
      <c r="B265" s="1" t="n">
        <v>45980</v>
      </c>
      <c r="C265" s="1" t="n">
        <v>46195</v>
      </c>
      <c r="D265" t="inlineStr">
        <is>
          <t>VÄSTERBOTTENS LÄN</t>
        </is>
      </c>
      <c r="E265" t="inlineStr">
        <is>
          <t>STORUMAN</t>
        </is>
      </c>
      <c r="G265" t="n">
        <v>7.2</v>
      </c>
      <c r="H265" t="n">
        <v>0</v>
      </c>
      <c r="I265" t="n">
        <v>0</v>
      </c>
      <c r="J265" t="n">
        <v>0</v>
      </c>
      <c r="K265" t="n">
        <v>0</v>
      </c>
      <c r="L265" t="n">
        <v>0</v>
      </c>
      <c r="M265" t="n">
        <v>0</v>
      </c>
      <c r="N265" t="n">
        <v>0</v>
      </c>
      <c r="O265" t="n">
        <v>0</v>
      </c>
      <c r="P265" t="n">
        <v>0</v>
      </c>
      <c r="Q265" t="n">
        <v>0</v>
      </c>
      <c r="R265" s="2" t="inlineStr"/>
    </row>
    <row r="266" ht="15" customHeight="1">
      <c r="A266" t="inlineStr">
        <is>
          <t>A 57579-2025</t>
        </is>
      </c>
      <c r="B266" s="1" t="n">
        <v>45980</v>
      </c>
      <c r="C266" s="1" t="n">
        <v>46195</v>
      </c>
      <c r="D266" t="inlineStr">
        <is>
          <t>VÄSTERBOTTENS LÄN</t>
        </is>
      </c>
      <c r="E266" t="inlineStr">
        <is>
          <t>STORUMAN</t>
        </is>
      </c>
      <c r="G266" t="n">
        <v>1.4</v>
      </c>
      <c r="H266" t="n">
        <v>0</v>
      </c>
      <c r="I266" t="n">
        <v>0</v>
      </c>
      <c r="J266" t="n">
        <v>0</v>
      </c>
      <c r="K266" t="n">
        <v>0</v>
      </c>
      <c r="L266" t="n">
        <v>0</v>
      </c>
      <c r="M266" t="n">
        <v>0</v>
      </c>
      <c r="N266" t="n">
        <v>0</v>
      </c>
      <c r="O266" t="n">
        <v>0</v>
      </c>
      <c r="P266" t="n">
        <v>0</v>
      </c>
      <c r="Q266" t="n">
        <v>0</v>
      </c>
      <c r="R266" s="2" t="inlineStr"/>
    </row>
    <row r="267" ht="15" customHeight="1">
      <c r="A267" t="inlineStr">
        <is>
          <t>A 32196-2025</t>
        </is>
      </c>
      <c r="B267" s="1" t="n">
        <v>45835</v>
      </c>
      <c r="C267" s="1" t="n">
        <v>46195</v>
      </c>
      <c r="D267" t="inlineStr">
        <is>
          <t>VÄSTERBOTTENS LÄN</t>
        </is>
      </c>
      <c r="E267" t="inlineStr">
        <is>
          <t>STORUMAN</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32202-2025</t>
        </is>
      </c>
      <c r="B268" s="1" t="n">
        <v>45835</v>
      </c>
      <c r="C268" s="1" t="n">
        <v>46195</v>
      </c>
      <c r="D268" t="inlineStr">
        <is>
          <t>VÄSTERBOTTENS LÄN</t>
        </is>
      </c>
      <c r="E268" t="inlineStr">
        <is>
          <t>STORUMAN</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57426-2025</t>
        </is>
      </c>
      <c r="B269" s="1" t="n">
        <v>45980</v>
      </c>
      <c r="C269" s="1" t="n">
        <v>46195</v>
      </c>
      <c r="D269" t="inlineStr">
        <is>
          <t>VÄSTERBOTTENS LÄN</t>
        </is>
      </c>
      <c r="E269" t="inlineStr">
        <is>
          <t>STORUMAN</t>
        </is>
      </c>
      <c r="F269" t="inlineStr">
        <is>
          <t>Sveaskog</t>
        </is>
      </c>
      <c r="G269" t="n">
        <v>22.6</v>
      </c>
      <c r="H269" t="n">
        <v>0</v>
      </c>
      <c r="I269" t="n">
        <v>0</v>
      </c>
      <c r="J269" t="n">
        <v>0</v>
      </c>
      <c r="K269" t="n">
        <v>0</v>
      </c>
      <c r="L269" t="n">
        <v>0</v>
      </c>
      <c r="M269" t="n">
        <v>0</v>
      </c>
      <c r="N269" t="n">
        <v>0</v>
      </c>
      <c r="O269" t="n">
        <v>0</v>
      </c>
      <c r="P269" t="n">
        <v>0</v>
      </c>
      <c r="Q269" t="n">
        <v>0</v>
      </c>
      <c r="R269" s="2" t="inlineStr"/>
    </row>
    <row r="270" ht="15" customHeight="1">
      <c r="A270" t="inlineStr">
        <is>
          <t>A 57123-2025</t>
        </is>
      </c>
      <c r="B270" s="1" t="n">
        <v>45979</v>
      </c>
      <c r="C270" s="1" t="n">
        <v>46195</v>
      </c>
      <c r="D270" t="inlineStr">
        <is>
          <t>VÄSTERBOTTENS LÄN</t>
        </is>
      </c>
      <c r="E270" t="inlineStr">
        <is>
          <t>STORUMAN</t>
        </is>
      </c>
      <c r="G270" t="n">
        <v>4.1</v>
      </c>
      <c r="H270" t="n">
        <v>0</v>
      </c>
      <c r="I270" t="n">
        <v>0</v>
      </c>
      <c r="J270" t="n">
        <v>0</v>
      </c>
      <c r="K270" t="n">
        <v>0</v>
      </c>
      <c r="L270" t="n">
        <v>0</v>
      </c>
      <c r="M270" t="n">
        <v>0</v>
      </c>
      <c r="N270" t="n">
        <v>0</v>
      </c>
      <c r="O270" t="n">
        <v>0</v>
      </c>
      <c r="P270" t="n">
        <v>0</v>
      </c>
      <c r="Q270" t="n">
        <v>0</v>
      </c>
      <c r="R270" s="2" t="inlineStr"/>
    </row>
    <row r="271" ht="15" customHeight="1">
      <c r="A271" t="inlineStr">
        <is>
          <t>A 57235-2025</t>
        </is>
      </c>
      <c r="B271" s="1" t="n">
        <v>45979</v>
      </c>
      <c r="C271" s="1" t="n">
        <v>46195</v>
      </c>
      <c r="D271" t="inlineStr">
        <is>
          <t>VÄSTERBOTTENS LÄN</t>
        </is>
      </c>
      <c r="E271" t="inlineStr">
        <is>
          <t>STORUMAN</t>
        </is>
      </c>
      <c r="F271" t="inlineStr">
        <is>
          <t>Sveaskog</t>
        </is>
      </c>
      <c r="G271" t="n">
        <v>22.2</v>
      </c>
      <c r="H271" t="n">
        <v>0</v>
      </c>
      <c r="I271" t="n">
        <v>0</v>
      </c>
      <c r="J271" t="n">
        <v>0</v>
      </c>
      <c r="K271" t="n">
        <v>0</v>
      </c>
      <c r="L271" t="n">
        <v>0</v>
      </c>
      <c r="M271" t="n">
        <v>0</v>
      </c>
      <c r="N271" t="n">
        <v>0</v>
      </c>
      <c r="O271" t="n">
        <v>0</v>
      </c>
      <c r="P271" t="n">
        <v>0</v>
      </c>
      <c r="Q271" t="n">
        <v>0</v>
      </c>
      <c r="R271" s="2" t="inlineStr"/>
    </row>
    <row r="272" ht="15" customHeight="1">
      <c r="A272" t="inlineStr">
        <is>
          <t>A 32927-2025</t>
        </is>
      </c>
      <c r="B272" s="1" t="n">
        <v>45839</v>
      </c>
      <c r="C272" s="1" t="n">
        <v>46195</v>
      </c>
      <c r="D272" t="inlineStr">
        <is>
          <t>VÄSTERBOTTENS LÄN</t>
        </is>
      </c>
      <c r="E272" t="inlineStr">
        <is>
          <t>STORUMAN</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33881-2025</t>
        </is>
      </c>
      <c r="B273" s="1" t="n">
        <v>45842</v>
      </c>
      <c r="C273" s="1" t="n">
        <v>46195</v>
      </c>
      <c r="D273" t="inlineStr">
        <is>
          <t>VÄSTERBOTTENS LÄN</t>
        </is>
      </c>
      <c r="E273" t="inlineStr">
        <is>
          <t>STORUMAN</t>
        </is>
      </c>
      <c r="F273" t="inlineStr">
        <is>
          <t>Sveaskog</t>
        </is>
      </c>
      <c r="G273" t="n">
        <v>12.9</v>
      </c>
      <c r="H273" t="n">
        <v>0</v>
      </c>
      <c r="I273" t="n">
        <v>0</v>
      </c>
      <c r="J273" t="n">
        <v>0</v>
      </c>
      <c r="K273" t="n">
        <v>0</v>
      </c>
      <c r="L273" t="n">
        <v>0</v>
      </c>
      <c r="M273" t="n">
        <v>0</v>
      </c>
      <c r="N273" t="n">
        <v>0</v>
      </c>
      <c r="O273" t="n">
        <v>0</v>
      </c>
      <c r="P273" t="n">
        <v>0</v>
      </c>
      <c r="Q273" t="n">
        <v>0</v>
      </c>
      <c r="R273" s="2" t="inlineStr"/>
    </row>
    <row r="274" ht="15" customHeight="1">
      <c r="A274" t="inlineStr">
        <is>
          <t>A 58218-2025</t>
        </is>
      </c>
      <c r="B274" s="1" t="n">
        <v>45985</v>
      </c>
      <c r="C274" s="1" t="n">
        <v>46195</v>
      </c>
      <c r="D274" t="inlineStr">
        <is>
          <t>VÄSTERBOTTENS LÄN</t>
        </is>
      </c>
      <c r="E274" t="inlineStr">
        <is>
          <t>STORUMAN</t>
        </is>
      </c>
      <c r="G274" t="n">
        <v>19.9</v>
      </c>
      <c r="H274" t="n">
        <v>0</v>
      </c>
      <c r="I274" t="n">
        <v>0</v>
      </c>
      <c r="J274" t="n">
        <v>0</v>
      </c>
      <c r="K274" t="n">
        <v>0</v>
      </c>
      <c r="L274" t="n">
        <v>0</v>
      </c>
      <c r="M274" t="n">
        <v>0</v>
      </c>
      <c r="N274" t="n">
        <v>0</v>
      </c>
      <c r="O274" t="n">
        <v>0</v>
      </c>
      <c r="P274" t="n">
        <v>0</v>
      </c>
      <c r="Q274" t="n">
        <v>0</v>
      </c>
      <c r="R274" s="2" t="inlineStr"/>
    </row>
    <row r="275" ht="15" customHeight="1">
      <c r="A275" t="inlineStr">
        <is>
          <t>A 58264-2025</t>
        </is>
      </c>
      <c r="B275" s="1" t="n">
        <v>45985</v>
      </c>
      <c r="C275" s="1" t="n">
        <v>46195</v>
      </c>
      <c r="D275" t="inlineStr">
        <is>
          <t>VÄSTERBOTTENS LÄN</t>
        </is>
      </c>
      <c r="E275" t="inlineStr">
        <is>
          <t>STORUMAN</t>
        </is>
      </c>
      <c r="F275" t="inlineStr">
        <is>
          <t>Övriga statliga verk och myndigheter</t>
        </is>
      </c>
      <c r="G275" t="n">
        <v>102.4</v>
      </c>
      <c r="H275" t="n">
        <v>0</v>
      </c>
      <c r="I275" t="n">
        <v>0</v>
      </c>
      <c r="J275" t="n">
        <v>0</v>
      </c>
      <c r="K275" t="n">
        <v>0</v>
      </c>
      <c r="L275" t="n">
        <v>0</v>
      </c>
      <c r="M275" t="n">
        <v>0</v>
      </c>
      <c r="N275" t="n">
        <v>0</v>
      </c>
      <c r="O275" t="n">
        <v>0</v>
      </c>
      <c r="P275" t="n">
        <v>0</v>
      </c>
      <c r="Q275" t="n">
        <v>0</v>
      </c>
      <c r="R275" s="2" t="inlineStr"/>
    </row>
    <row r="276" ht="15" customHeight="1">
      <c r="A276" t="inlineStr">
        <is>
          <t>A 58222-2025</t>
        </is>
      </c>
      <c r="B276" s="1" t="n">
        <v>45985</v>
      </c>
      <c r="C276" s="1" t="n">
        <v>46195</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48762-2024</t>
        </is>
      </c>
      <c r="B277" s="1" t="n">
        <v>45593</v>
      </c>
      <c r="C277" s="1" t="n">
        <v>46195</v>
      </c>
      <c r="D277" t="inlineStr">
        <is>
          <t>VÄSTERBOTTENS LÄN</t>
        </is>
      </c>
      <c r="E277" t="inlineStr">
        <is>
          <t>STORUMAN</t>
        </is>
      </c>
      <c r="G277" t="n">
        <v>17.4</v>
      </c>
      <c r="H277" t="n">
        <v>0</v>
      </c>
      <c r="I277" t="n">
        <v>0</v>
      </c>
      <c r="J277" t="n">
        <v>0</v>
      </c>
      <c r="K277" t="n">
        <v>0</v>
      </c>
      <c r="L277" t="n">
        <v>0</v>
      </c>
      <c r="M277" t="n">
        <v>0</v>
      </c>
      <c r="N277" t="n">
        <v>0</v>
      </c>
      <c r="O277" t="n">
        <v>0</v>
      </c>
      <c r="P277" t="n">
        <v>0</v>
      </c>
      <c r="Q277" t="n">
        <v>0</v>
      </c>
      <c r="R277" s="2" t="inlineStr"/>
    </row>
    <row r="278" ht="15" customHeight="1">
      <c r="A278" t="inlineStr">
        <is>
          <t>A 26903-2026</t>
        </is>
      </c>
      <c r="B278" s="1" t="n">
        <v>46185</v>
      </c>
      <c r="C278" s="1" t="n">
        <v>46195</v>
      </c>
      <c r="D278" t="inlineStr">
        <is>
          <t>VÄSTERBOTTENS LÄN</t>
        </is>
      </c>
      <c r="E278" t="inlineStr">
        <is>
          <t>STORUMAN</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35514-2025</t>
        </is>
      </c>
      <c r="B279" s="1" t="n">
        <v>45856</v>
      </c>
      <c r="C279" s="1" t="n">
        <v>46195</v>
      </c>
      <c r="D279" t="inlineStr">
        <is>
          <t>VÄSTERBOTTENS LÄN</t>
        </is>
      </c>
      <c r="E279" t="inlineStr">
        <is>
          <t>STORUMAN</t>
        </is>
      </c>
      <c r="G279" t="n">
        <v>1.4</v>
      </c>
      <c r="H279" t="n">
        <v>0</v>
      </c>
      <c r="I279" t="n">
        <v>0</v>
      </c>
      <c r="J279" t="n">
        <v>0</v>
      </c>
      <c r="K279" t="n">
        <v>0</v>
      </c>
      <c r="L279" t="n">
        <v>0</v>
      </c>
      <c r="M279" t="n">
        <v>0</v>
      </c>
      <c r="N279" t="n">
        <v>0</v>
      </c>
      <c r="O279" t="n">
        <v>0</v>
      </c>
      <c r="P279" t="n">
        <v>0</v>
      </c>
      <c r="Q279" t="n">
        <v>0</v>
      </c>
      <c r="R279" s="2" t="inlineStr"/>
    </row>
    <row r="280" ht="15" customHeight="1">
      <c r="A280" t="inlineStr">
        <is>
          <t>A 21428-2026</t>
        </is>
      </c>
      <c r="B280" s="1" t="n">
        <v>46148</v>
      </c>
      <c r="C280" s="1" t="n">
        <v>46195</v>
      </c>
      <c r="D280" t="inlineStr">
        <is>
          <t>VÄSTERBOTTENS LÄN</t>
        </is>
      </c>
      <c r="E280" t="inlineStr">
        <is>
          <t>STORUMAN</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35752-2025</t>
        </is>
      </c>
      <c r="B281" s="1" t="n">
        <v>45860</v>
      </c>
      <c r="C281" s="1" t="n">
        <v>46195</v>
      </c>
      <c r="D281" t="inlineStr">
        <is>
          <t>VÄSTERBOTTENS LÄN</t>
        </is>
      </c>
      <c r="E281" t="inlineStr">
        <is>
          <t>STORUMAN</t>
        </is>
      </c>
      <c r="G281" t="n">
        <v>2.6</v>
      </c>
      <c r="H281" t="n">
        <v>0</v>
      </c>
      <c r="I281" t="n">
        <v>0</v>
      </c>
      <c r="J281" t="n">
        <v>0</v>
      </c>
      <c r="K281" t="n">
        <v>0</v>
      </c>
      <c r="L281" t="n">
        <v>0</v>
      </c>
      <c r="M281" t="n">
        <v>0</v>
      </c>
      <c r="N281" t="n">
        <v>0</v>
      </c>
      <c r="O281" t="n">
        <v>0</v>
      </c>
      <c r="P281" t="n">
        <v>0</v>
      </c>
      <c r="Q281" t="n">
        <v>0</v>
      </c>
      <c r="R281" s="2" t="inlineStr"/>
    </row>
    <row r="282" ht="15" customHeight="1">
      <c r="A282" t="inlineStr">
        <is>
          <t>A 34399-2024</t>
        </is>
      </c>
      <c r="B282" s="1" t="n">
        <v>45525</v>
      </c>
      <c r="C282" s="1" t="n">
        <v>46195</v>
      </c>
      <c r="D282" t="inlineStr">
        <is>
          <t>VÄSTERBOTTENS LÄN</t>
        </is>
      </c>
      <c r="E282" t="inlineStr">
        <is>
          <t>STORUMAN</t>
        </is>
      </c>
      <c r="F282" t="inlineStr">
        <is>
          <t>Övriga statliga verk och myndigheter</t>
        </is>
      </c>
      <c r="G282" t="n">
        <v>10.6</v>
      </c>
      <c r="H282" t="n">
        <v>0</v>
      </c>
      <c r="I282" t="n">
        <v>0</v>
      </c>
      <c r="J282" t="n">
        <v>0</v>
      </c>
      <c r="K282" t="n">
        <v>0</v>
      </c>
      <c r="L282" t="n">
        <v>0</v>
      </c>
      <c r="M282" t="n">
        <v>0</v>
      </c>
      <c r="N282" t="n">
        <v>0</v>
      </c>
      <c r="O282" t="n">
        <v>0</v>
      </c>
      <c r="P282" t="n">
        <v>0</v>
      </c>
      <c r="Q282" t="n">
        <v>0</v>
      </c>
      <c r="R282" s="2" t="inlineStr"/>
    </row>
    <row r="283" ht="15" customHeight="1">
      <c r="A283" t="inlineStr">
        <is>
          <t>A 59932-2025</t>
        </is>
      </c>
      <c r="B283" s="1" t="n">
        <v>45993</v>
      </c>
      <c r="C283" s="1" t="n">
        <v>46195</v>
      </c>
      <c r="D283" t="inlineStr">
        <is>
          <t>VÄSTERBOTTENS LÄN</t>
        </is>
      </c>
      <c r="E283" t="inlineStr">
        <is>
          <t>STORUMAN</t>
        </is>
      </c>
      <c r="G283" t="n">
        <v>1.9</v>
      </c>
      <c r="H283" t="n">
        <v>0</v>
      </c>
      <c r="I283" t="n">
        <v>0</v>
      </c>
      <c r="J283" t="n">
        <v>0</v>
      </c>
      <c r="K283" t="n">
        <v>0</v>
      </c>
      <c r="L283" t="n">
        <v>0</v>
      </c>
      <c r="M283" t="n">
        <v>0</v>
      </c>
      <c r="N283" t="n">
        <v>0</v>
      </c>
      <c r="O283" t="n">
        <v>0</v>
      </c>
      <c r="P283" t="n">
        <v>0</v>
      </c>
      <c r="Q283" t="n">
        <v>0</v>
      </c>
      <c r="R283" s="2" t="inlineStr"/>
    </row>
    <row r="284" ht="15" customHeight="1">
      <c r="A284" t="inlineStr">
        <is>
          <t>A 60341-2025</t>
        </is>
      </c>
      <c r="B284" s="1" t="n">
        <v>45994</v>
      </c>
      <c r="C284" s="1" t="n">
        <v>46195</v>
      </c>
      <c r="D284" t="inlineStr">
        <is>
          <t>VÄSTERBOTTENS LÄN</t>
        </is>
      </c>
      <c r="E284" t="inlineStr">
        <is>
          <t>STORUMAN</t>
        </is>
      </c>
      <c r="G284" t="n">
        <v>24.6</v>
      </c>
      <c r="H284" t="n">
        <v>0</v>
      </c>
      <c r="I284" t="n">
        <v>0</v>
      </c>
      <c r="J284" t="n">
        <v>0</v>
      </c>
      <c r="K284" t="n">
        <v>0</v>
      </c>
      <c r="L284" t="n">
        <v>0</v>
      </c>
      <c r="M284" t="n">
        <v>0</v>
      </c>
      <c r="N284" t="n">
        <v>0</v>
      </c>
      <c r="O284" t="n">
        <v>0</v>
      </c>
      <c r="P284" t="n">
        <v>0</v>
      </c>
      <c r="Q284" t="n">
        <v>0</v>
      </c>
      <c r="R284" s="2" t="inlineStr"/>
    </row>
    <row r="285" ht="15" customHeight="1">
      <c r="A285" t="inlineStr">
        <is>
          <t>A 48761-2024</t>
        </is>
      </c>
      <c r="B285" s="1" t="n">
        <v>45593</v>
      </c>
      <c r="C285" s="1" t="n">
        <v>46195</v>
      </c>
      <c r="D285" t="inlineStr">
        <is>
          <t>VÄSTERBOTTENS LÄN</t>
        </is>
      </c>
      <c r="E285" t="inlineStr">
        <is>
          <t>STORUMAN</t>
        </is>
      </c>
      <c r="G285" t="n">
        <v>35.7</v>
      </c>
      <c r="H285" t="n">
        <v>0</v>
      </c>
      <c r="I285" t="n">
        <v>0</v>
      </c>
      <c r="J285" t="n">
        <v>0</v>
      </c>
      <c r="K285" t="n">
        <v>0</v>
      </c>
      <c r="L285" t="n">
        <v>0</v>
      </c>
      <c r="M285" t="n">
        <v>0</v>
      </c>
      <c r="N285" t="n">
        <v>0</v>
      </c>
      <c r="O285" t="n">
        <v>0</v>
      </c>
      <c r="P285" t="n">
        <v>0</v>
      </c>
      <c r="Q285" t="n">
        <v>0</v>
      </c>
      <c r="R285" s="2" t="inlineStr"/>
    </row>
    <row r="286" ht="15" customHeight="1">
      <c r="A286" t="inlineStr">
        <is>
          <t>A 60336-2025</t>
        </is>
      </c>
      <c r="B286" s="1" t="n">
        <v>45994</v>
      </c>
      <c r="C286" s="1" t="n">
        <v>46195</v>
      </c>
      <c r="D286" t="inlineStr">
        <is>
          <t>VÄSTERBOTTENS LÄN</t>
        </is>
      </c>
      <c r="E286" t="inlineStr">
        <is>
          <t>STORUMAN</t>
        </is>
      </c>
      <c r="G286" t="n">
        <v>28.6</v>
      </c>
      <c r="H286" t="n">
        <v>0</v>
      </c>
      <c r="I286" t="n">
        <v>0</v>
      </c>
      <c r="J286" t="n">
        <v>0</v>
      </c>
      <c r="K286" t="n">
        <v>0</v>
      </c>
      <c r="L286" t="n">
        <v>0</v>
      </c>
      <c r="M286" t="n">
        <v>0</v>
      </c>
      <c r="N286" t="n">
        <v>0</v>
      </c>
      <c r="O286" t="n">
        <v>0</v>
      </c>
      <c r="P286" t="n">
        <v>0</v>
      </c>
      <c r="Q286" t="n">
        <v>0</v>
      </c>
      <c r="R286" s="2" t="inlineStr"/>
    </row>
    <row r="287" ht="15" customHeight="1">
      <c r="A287" t="inlineStr">
        <is>
          <t>A 48716-2024</t>
        </is>
      </c>
      <c r="B287" s="1" t="n">
        <v>45593</v>
      </c>
      <c r="C287" s="1" t="n">
        <v>46195</v>
      </c>
      <c r="D287" t="inlineStr">
        <is>
          <t>VÄSTERBOTTENS LÄN</t>
        </is>
      </c>
      <c r="E287" t="inlineStr">
        <is>
          <t>STORUMAN</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61217-2025</t>
        </is>
      </c>
      <c r="B288" s="1" t="n">
        <v>46000</v>
      </c>
      <c r="C288" s="1" t="n">
        <v>46195</v>
      </c>
      <c r="D288" t="inlineStr">
        <is>
          <t>VÄSTERBOTTENS LÄN</t>
        </is>
      </c>
      <c r="E288" t="inlineStr">
        <is>
          <t>STORUMAN</t>
        </is>
      </c>
      <c r="G288" t="n">
        <v>2.1</v>
      </c>
      <c r="H288" t="n">
        <v>0</v>
      </c>
      <c r="I288" t="n">
        <v>0</v>
      </c>
      <c r="J288" t="n">
        <v>0</v>
      </c>
      <c r="K288" t="n">
        <v>0</v>
      </c>
      <c r="L288" t="n">
        <v>0</v>
      </c>
      <c r="M288" t="n">
        <v>0</v>
      </c>
      <c r="N288" t="n">
        <v>0</v>
      </c>
      <c r="O288" t="n">
        <v>0</v>
      </c>
      <c r="P288" t="n">
        <v>0</v>
      </c>
      <c r="Q288" t="n">
        <v>0</v>
      </c>
      <c r="R288" s="2" t="inlineStr"/>
    </row>
    <row r="289" ht="15" customHeight="1">
      <c r="A289" t="inlineStr">
        <is>
          <t>A 61208-2025</t>
        </is>
      </c>
      <c r="B289" s="1" t="n">
        <v>46000</v>
      </c>
      <c r="C289" s="1" t="n">
        <v>46195</v>
      </c>
      <c r="D289" t="inlineStr">
        <is>
          <t>VÄSTERBOTTENS LÄN</t>
        </is>
      </c>
      <c r="E289" t="inlineStr">
        <is>
          <t>STORUMAN</t>
        </is>
      </c>
      <c r="G289" t="n">
        <v>1.9</v>
      </c>
      <c r="H289" t="n">
        <v>0</v>
      </c>
      <c r="I289" t="n">
        <v>0</v>
      </c>
      <c r="J289" t="n">
        <v>0</v>
      </c>
      <c r="K289" t="n">
        <v>0</v>
      </c>
      <c r="L289" t="n">
        <v>0</v>
      </c>
      <c r="M289" t="n">
        <v>0</v>
      </c>
      <c r="N289" t="n">
        <v>0</v>
      </c>
      <c r="O289" t="n">
        <v>0</v>
      </c>
      <c r="P289" t="n">
        <v>0</v>
      </c>
      <c r="Q289" t="n">
        <v>0</v>
      </c>
      <c r="R289" s="2" t="inlineStr"/>
    </row>
    <row r="290" ht="15" customHeight="1">
      <c r="A290" t="inlineStr">
        <is>
          <t>A 22895-2026</t>
        </is>
      </c>
      <c r="B290" s="1" t="n">
        <v>46156</v>
      </c>
      <c r="C290" s="1" t="n">
        <v>46195</v>
      </c>
      <c r="D290" t="inlineStr">
        <is>
          <t>VÄSTERBOTTENS LÄN</t>
        </is>
      </c>
      <c r="E290" t="inlineStr">
        <is>
          <t>STORUMAN</t>
        </is>
      </c>
      <c r="F290" t="inlineStr">
        <is>
          <t>Övriga statliga verk och myndigheter</t>
        </is>
      </c>
      <c r="G290" t="n">
        <v>59.5</v>
      </c>
      <c r="H290" t="n">
        <v>0</v>
      </c>
      <c r="I290" t="n">
        <v>0</v>
      </c>
      <c r="J290" t="n">
        <v>0</v>
      </c>
      <c r="K290" t="n">
        <v>0</v>
      </c>
      <c r="L290" t="n">
        <v>0</v>
      </c>
      <c r="M290" t="n">
        <v>0</v>
      </c>
      <c r="N290" t="n">
        <v>0</v>
      </c>
      <c r="O290" t="n">
        <v>0</v>
      </c>
      <c r="P290" t="n">
        <v>0</v>
      </c>
      <c r="Q290" t="n">
        <v>0</v>
      </c>
      <c r="R290" s="2" t="inlineStr"/>
    </row>
    <row r="291" ht="15" customHeight="1">
      <c r="A291" t="inlineStr">
        <is>
          <t>A 21420-2026</t>
        </is>
      </c>
      <c r="B291" s="1" t="n">
        <v>46148</v>
      </c>
      <c r="C291" s="1" t="n">
        <v>46195</v>
      </c>
      <c r="D291" t="inlineStr">
        <is>
          <t>VÄSTERBOTTENS LÄN</t>
        </is>
      </c>
      <c r="E291" t="inlineStr">
        <is>
          <t>STORUMAN</t>
        </is>
      </c>
      <c r="F291" t="inlineStr">
        <is>
          <t>Holmen skog AB</t>
        </is>
      </c>
      <c r="G291" t="n">
        <v>1</v>
      </c>
      <c r="H291" t="n">
        <v>0</v>
      </c>
      <c r="I291" t="n">
        <v>0</v>
      </c>
      <c r="J291" t="n">
        <v>0</v>
      </c>
      <c r="K291" t="n">
        <v>0</v>
      </c>
      <c r="L291" t="n">
        <v>0</v>
      </c>
      <c r="M291" t="n">
        <v>0</v>
      </c>
      <c r="N291" t="n">
        <v>0</v>
      </c>
      <c r="O291" t="n">
        <v>0</v>
      </c>
      <c r="P291" t="n">
        <v>0</v>
      </c>
      <c r="Q291" t="n">
        <v>0</v>
      </c>
      <c r="R291" s="2" t="inlineStr"/>
    </row>
    <row r="292" ht="15" customHeight="1">
      <c r="A292" t="inlineStr">
        <is>
          <t>A 61220-2025</t>
        </is>
      </c>
      <c r="B292" s="1" t="n">
        <v>46000</v>
      </c>
      <c r="C292" s="1" t="n">
        <v>46195</v>
      </c>
      <c r="D292" t="inlineStr">
        <is>
          <t>VÄSTERBOTTENS LÄN</t>
        </is>
      </c>
      <c r="E292" t="inlineStr">
        <is>
          <t>STORUMAN</t>
        </is>
      </c>
      <c r="G292" t="n">
        <v>4.5</v>
      </c>
      <c r="H292" t="n">
        <v>0</v>
      </c>
      <c r="I292" t="n">
        <v>0</v>
      </c>
      <c r="J292" t="n">
        <v>0</v>
      </c>
      <c r="K292" t="n">
        <v>0</v>
      </c>
      <c r="L292" t="n">
        <v>0</v>
      </c>
      <c r="M292" t="n">
        <v>0</v>
      </c>
      <c r="N292" t="n">
        <v>0</v>
      </c>
      <c r="O292" t="n">
        <v>0</v>
      </c>
      <c r="P292" t="n">
        <v>0</v>
      </c>
      <c r="Q292" t="n">
        <v>0</v>
      </c>
      <c r="R292" s="2" t="inlineStr"/>
    </row>
    <row r="293" ht="15" customHeight="1">
      <c r="A293" t="inlineStr">
        <is>
          <t>A 61199-2025</t>
        </is>
      </c>
      <c r="B293" s="1" t="n">
        <v>46000</v>
      </c>
      <c r="C293" s="1" t="n">
        <v>46195</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60916-2025</t>
        </is>
      </c>
      <c r="B294" s="1" t="n">
        <v>45999</v>
      </c>
      <c r="C294" s="1" t="n">
        <v>46195</v>
      </c>
      <c r="D294" t="inlineStr">
        <is>
          <t>VÄSTERBOTTENS LÄN</t>
        </is>
      </c>
      <c r="E294" t="inlineStr">
        <is>
          <t>STORUMAN</t>
        </is>
      </c>
      <c r="F294" t="inlineStr">
        <is>
          <t>Naturvårdsverket</t>
        </is>
      </c>
      <c r="G294" t="n">
        <v>0.8</v>
      </c>
      <c r="H294" t="n">
        <v>0</v>
      </c>
      <c r="I294" t="n">
        <v>0</v>
      </c>
      <c r="J294" t="n">
        <v>0</v>
      </c>
      <c r="K294" t="n">
        <v>0</v>
      </c>
      <c r="L294" t="n">
        <v>0</v>
      </c>
      <c r="M294" t="n">
        <v>0</v>
      </c>
      <c r="N294" t="n">
        <v>0</v>
      </c>
      <c r="O294" t="n">
        <v>0</v>
      </c>
      <c r="P294" t="n">
        <v>0</v>
      </c>
      <c r="Q294" t="n">
        <v>0</v>
      </c>
      <c r="R294" s="2" t="inlineStr"/>
    </row>
    <row r="295" ht="15" customHeight="1">
      <c r="A295" t="inlineStr">
        <is>
          <t>A 60918-2025</t>
        </is>
      </c>
      <c r="B295" s="1" t="n">
        <v>45999</v>
      </c>
      <c r="C295" s="1" t="n">
        <v>46195</v>
      </c>
      <c r="D295" t="inlineStr">
        <is>
          <t>VÄSTERBOTTENS LÄN</t>
        </is>
      </c>
      <c r="E295" t="inlineStr">
        <is>
          <t>STORUMAN</t>
        </is>
      </c>
      <c r="G295" t="n">
        <v>0.7</v>
      </c>
      <c r="H295" t="n">
        <v>0</v>
      </c>
      <c r="I295" t="n">
        <v>0</v>
      </c>
      <c r="J295" t="n">
        <v>0</v>
      </c>
      <c r="K295" t="n">
        <v>0</v>
      </c>
      <c r="L295" t="n">
        <v>0</v>
      </c>
      <c r="M295" t="n">
        <v>0</v>
      </c>
      <c r="N295" t="n">
        <v>0</v>
      </c>
      <c r="O295" t="n">
        <v>0</v>
      </c>
      <c r="P295" t="n">
        <v>0</v>
      </c>
      <c r="Q295" t="n">
        <v>0</v>
      </c>
      <c r="R295" s="2" t="inlineStr"/>
    </row>
    <row r="296" ht="15" customHeight="1">
      <c r="A296" t="inlineStr">
        <is>
          <t>A 58852-2024</t>
        </is>
      </c>
      <c r="B296" s="1" t="n">
        <v>45635</v>
      </c>
      <c r="C296" s="1" t="n">
        <v>46195</v>
      </c>
      <c r="D296" t="inlineStr">
        <is>
          <t>VÄSTERBOTTENS LÄN</t>
        </is>
      </c>
      <c r="E296" t="inlineStr">
        <is>
          <t>STORUMAN</t>
        </is>
      </c>
      <c r="F296" t="inlineStr">
        <is>
          <t>Allmännings- och besparingsskogar</t>
        </is>
      </c>
      <c r="G296" t="n">
        <v>455.1</v>
      </c>
      <c r="H296" t="n">
        <v>0</v>
      </c>
      <c r="I296" t="n">
        <v>0</v>
      </c>
      <c r="J296" t="n">
        <v>0</v>
      </c>
      <c r="K296" t="n">
        <v>0</v>
      </c>
      <c r="L296" t="n">
        <v>0</v>
      </c>
      <c r="M296" t="n">
        <v>0</v>
      </c>
      <c r="N296" t="n">
        <v>0</v>
      </c>
      <c r="O296" t="n">
        <v>0</v>
      </c>
      <c r="P296" t="n">
        <v>0</v>
      </c>
      <c r="Q296" t="n">
        <v>0</v>
      </c>
      <c r="R296" s="2" t="inlineStr"/>
    </row>
    <row r="297" ht="15" customHeight="1">
      <c r="A297" t="inlineStr">
        <is>
          <t>A 57962-2024</t>
        </is>
      </c>
      <c r="B297" s="1" t="n">
        <v>45631</v>
      </c>
      <c r="C297" s="1" t="n">
        <v>46195</v>
      </c>
      <c r="D297" t="inlineStr">
        <is>
          <t>VÄSTERBOTTENS LÄN</t>
        </is>
      </c>
      <c r="E297" t="inlineStr">
        <is>
          <t>STORUMAN</t>
        </is>
      </c>
      <c r="F297" t="inlineStr">
        <is>
          <t>Allmännings- och besparingsskogar</t>
        </is>
      </c>
      <c r="G297" t="n">
        <v>855.7</v>
      </c>
      <c r="H297" t="n">
        <v>0</v>
      </c>
      <c r="I297" t="n">
        <v>0</v>
      </c>
      <c r="J297" t="n">
        <v>0</v>
      </c>
      <c r="K297" t="n">
        <v>0</v>
      </c>
      <c r="L297" t="n">
        <v>0</v>
      </c>
      <c r="M297" t="n">
        <v>0</v>
      </c>
      <c r="N297" t="n">
        <v>0</v>
      </c>
      <c r="O297" t="n">
        <v>0</v>
      </c>
      <c r="P297" t="n">
        <v>0</v>
      </c>
      <c r="Q297" t="n">
        <v>0</v>
      </c>
      <c r="R297" s="2" t="inlineStr"/>
    </row>
    <row r="298" ht="15" customHeight="1">
      <c r="A298" t="inlineStr">
        <is>
          <t>A 58918-2024</t>
        </is>
      </c>
      <c r="B298" s="1" t="n">
        <v>45635</v>
      </c>
      <c r="C298" s="1" t="n">
        <v>46195</v>
      </c>
      <c r="D298" t="inlineStr">
        <is>
          <t>VÄSTERBOTTENS LÄN</t>
        </is>
      </c>
      <c r="E298" t="inlineStr">
        <is>
          <t>STORUMAN</t>
        </is>
      </c>
      <c r="F298" t="inlineStr">
        <is>
          <t>Allmännings- och besparingsskogar</t>
        </is>
      </c>
      <c r="G298" t="n">
        <v>75.59999999999999</v>
      </c>
      <c r="H298" t="n">
        <v>0</v>
      </c>
      <c r="I298" t="n">
        <v>0</v>
      </c>
      <c r="J298" t="n">
        <v>0</v>
      </c>
      <c r="K298" t="n">
        <v>0</v>
      </c>
      <c r="L298" t="n">
        <v>0</v>
      </c>
      <c r="M298" t="n">
        <v>0</v>
      </c>
      <c r="N298" t="n">
        <v>0</v>
      </c>
      <c r="O298" t="n">
        <v>0</v>
      </c>
      <c r="P298" t="n">
        <v>0</v>
      </c>
      <c r="Q298" t="n">
        <v>0</v>
      </c>
      <c r="R298" s="2" t="inlineStr"/>
    </row>
    <row r="299" ht="15" customHeight="1">
      <c r="A299" t="inlineStr">
        <is>
          <t>A 28710-2022</t>
        </is>
      </c>
      <c r="B299" s="1" t="n">
        <v>44748</v>
      </c>
      <c r="C299" s="1" t="n">
        <v>46195</v>
      </c>
      <c r="D299" t="inlineStr">
        <is>
          <t>VÄSTERBOTTENS LÄN</t>
        </is>
      </c>
      <c r="E299" t="inlineStr">
        <is>
          <t>STORUMAN</t>
        </is>
      </c>
      <c r="G299" t="n">
        <v>5.9</v>
      </c>
      <c r="H299" t="n">
        <v>0</v>
      </c>
      <c r="I299" t="n">
        <v>0</v>
      </c>
      <c r="J299" t="n">
        <v>0</v>
      </c>
      <c r="K299" t="n">
        <v>0</v>
      </c>
      <c r="L299" t="n">
        <v>0</v>
      </c>
      <c r="M299" t="n">
        <v>0</v>
      </c>
      <c r="N299" t="n">
        <v>0</v>
      </c>
      <c r="O299" t="n">
        <v>0</v>
      </c>
      <c r="P299" t="n">
        <v>0</v>
      </c>
      <c r="Q299" t="n">
        <v>0</v>
      </c>
      <c r="R299" s="2" t="inlineStr"/>
    </row>
    <row r="300" ht="15" customHeight="1">
      <c r="A300" t="inlineStr">
        <is>
          <t>A 36942-2025</t>
        </is>
      </c>
      <c r="B300" s="1" t="n">
        <v>45874</v>
      </c>
      <c r="C300" s="1" t="n">
        <v>46195</v>
      </c>
      <c r="D300" t="inlineStr">
        <is>
          <t>VÄSTERBOTTENS LÄN</t>
        </is>
      </c>
      <c r="E300" t="inlineStr">
        <is>
          <t>STORUMAN</t>
        </is>
      </c>
      <c r="G300" t="n">
        <v>14.4</v>
      </c>
      <c r="H300" t="n">
        <v>0</v>
      </c>
      <c r="I300" t="n">
        <v>0</v>
      </c>
      <c r="J300" t="n">
        <v>0</v>
      </c>
      <c r="K300" t="n">
        <v>0</v>
      </c>
      <c r="L300" t="n">
        <v>0</v>
      </c>
      <c r="M300" t="n">
        <v>0</v>
      </c>
      <c r="N300" t="n">
        <v>0</v>
      </c>
      <c r="O300" t="n">
        <v>0</v>
      </c>
      <c r="P300" t="n">
        <v>0</v>
      </c>
      <c r="Q300" t="n">
        <v>0</v>
      </c>
      <c r="R300" s="2" t="inlineStr"/>
    </row>
    <row r="301" ht="15" customHeight="1">
      <c r="A301" t="inlineStr">
        <is>
          <t>A 44203-2023</t>
        </is>
      </c>
      <c r="B301" s="1" t="n">
        <v>45183</v>
      </c>
      <c r="C301" s="1" t="n">
        <v>46195</v>
      </c>
      <c r="D301" t="inlineStr">
        <is>
          <t>VÄSTERBOTTENS LÄN</t>
        </is>
      </c>
      <c r="E301" t="inlineStr">
        <is>
          <t>STORUMAN</t>
        </is>
      </c>
      <c r="G301" t="n">
        <v>33.7</v>
      </c>
      <c r="H301" t="n">
        <v>0</v>
      </c>
      <c r="I301" t="n">
        <v>0</v>
      </c>
      <c r="J301" t="n">
        <v>0</v>
      </c>
      <c r="K301" t="n">
        <v>0</v>
      </c>
      <c r="L301" t="n">
        <v>0</v>
      </c>
      <c r="M301" t="n">
        <v>0</v>
      </c>
      <c r="N301" t="n">
        <v>0</v>
      </c>
      <c r="O301" t="n">
        <v>0</v>
      </c>
      <c r="P301" t="n">
        <v>0</v>
      </c>
      <c r="Q301" t="n">
        <v>0</v>
      </c>
      <c r="R301" s="2" t="inlineStr"/>
    </row>
    <row r="302" ht="15" customHeight="1">
      <c r="A302" t="inlineStr">
        <is>
          <t>A 2794-2022</t>
        </is>
      </c>
      <c r="B302" s="1" t="n">
        <v>44580</v>
      </c>
      <c r="C302" s="1" t="n">
        <v>46195</v>
      </c>
      <c r="D302" t="inlineStr">
        <is>
          <t>VÄSTERBOTTENS LÄN</t>
        </is>
      </c>
      <c r="E302" t="inlineStr">
        <is>
          <t>STORUMAN</t>
        </is>
      </c>
      <c r="G302" t="n">
        <v>12.5</v>
      </c>
      <c r="H302" t="n">
        <v>0</v>
      </c>
      <c r="I302" t="n">
        <v>0</v>
      </c>
      <c r="J302" t="n">
        <v>0</v>
      </c>
      <c r="K302" t="n">
        <v>0</v>
      </c>
      <c r="L302" t="n">
        <v>0</v>
      </c>
      <c r="M302" t="n">
        <v>0</v>
      </c>
      <c r="N302" t="n">
        <v>0</v>
      </c>
      <c r="O302" t="n">
        <v>0</v>
      </c>
      <c r="P302" t="n">
        <v>0</v>
      </c>
      <c r="Q302" t="n">
        <v>0</v>
      </c>
      <c r="R302" s="2" t="inlineStr"/>
    </row>
    <row r="303" ht="15" customHeight="1">
      <c r="A303" t="inlineStr">
        <is>
          <t>A 36951-2025</t>
        </is>
      </c>
      <c r="B303" s="1" t="n">
        <v>45874</v>
      </c>
      <c r="C303" s="1" t="n">
        <v>46195</v>
      </c>
      <c r="D303" t="inlineStr">
        <is>
          <t>VÄSTERBOTTENS LÄN</t>
        </is>
      </c>
      <c r="E303" t="inlineStr">
        <is>
          <t>STORUMAN</t>
        </is>
      </c>
      <c r="G303" t="n">
        <v>6.5</v>
      </c>
      <c r="H303" t="n">
        <v>0</v>
      </c>
      <c r="I303" t="n">
        <v>0</v>
      </c>
      <c r="J303" t="n">
        <v>0</v>
      </c>
      <c r="K303" t="n">
        <v>0</v>
      </c>
      <c r="L303" t="n">
        <v>0</v>
      </c>
      <c r="M303" t="n">
        <v>0</v>
      </c>
      <c r="N303" t="n">
        <v>0</v>
      </c>
      <c r="O303" t="n">
        <v>0</v>
      </c>
      <c r="P303" t="n">
        <v>0</v>
      </c>
      <c r="Q303" t="n">
        <v>0</v>
      </c>
      <c r="R303" s="2" t="inlineStr"/>
    </row>
    <row r="304" ht="15" customHeight="1">
      <c r="A304" t="inlineStr">
        <is>
          <t>A 36828-2025</t>
        </is>
      </c>
      <c r="B304" s="1" t="n">
        <v>45874</v>
      </c>
      <c r="C304" s="1" t="n">
        <v>46195</v>
      </c>
      <c r="D304" t="inlineStr">
        <is>
          <t>VÄSTERBOTTENS LÄN</t>
        </is>
      </c>
      <c r="E304" t="inlineStr">
        <is>
          <t>STORUMAN</t>
        </is>
      </c>
      <c r="G304" t="n">
        <v>5.1</v>
      </c>
      <c r="H304" t="n">
        <v>0</v>
      </c>
      <c r="I304" t="n">
        <v>0</v>
      </c>
      <c r="J304" t="n">
        <v>0</v>
      </c>
      <c r="K304" t="n">
        <v>0</v>
      </c>
      <c r="L304" t="n">
        <v>0</v>
      </c>
      <c r="M304" t="n">
        <v>0</v>
      </c>
      <c r="N304" t="n">
        <v>0</v>
      </c>
      <c r="O304" t="n">
        <v>0</v>
      </c>
      <c r="P304" t="n">
        <v>0</v>
      </c>
      <c r="Q304" t="n">
        <v>0</v>
      </c>
      <c r="R304" s="2" t="inlineStr"/>
    </row>
    <row r="305" ht="15" customHeight="1">
      <c r="A305" t="inlineStr">
        <is>
          <t>A 36922-2025</t>
        </is>
      </c>
      <c r="B305" s="1" t="n">
        <v>45874</v>
      </c>
      <c r="C305" s="1" t="n">
        <v>46195</v>
      </c>
      <c r="D305" t="inlineStr">
        <is>
          <t>VÄSTERBOTTENS LÄN</t>
        </is>
      </c>
      <c r="E305" t="inlineStr">
        <is>
          <t>STORUMAN</t>
        </is>
      </c>
      <c r="G305" t="n">
        <v>3.5</v>
      </c>
      <c r="H305" t="n">
        <v>0</v>
      </c>
      <c r="I305" t="n">
        <v>0</v>
      </c>
      <c r="J305" t="n">
        <v>0</v>
      </c>
      <c r="K305" t="n">
        <v>0</v>
      </c>
      <c r="L305" t="n">
        <v>0</v>
      </c>
      <c r="M305" t="n">
        <v>0</v>
      </c>
      <c r="N305" t="n">
        <v>0</v>
      </c>
      <c r="O305" t="n">
        <v>0</v>
      </c>
      <c r="P305" t="n">
        <v>0</v>
      </c>
      <c r="Q305" t="n">
        <v>0</v>
      </c>
      <c r="R305" s="2" t="inlineStr"/>
    </row>
    <row r="306" ht="15" customHeight="1">
      <c r="A306" t="inlineStr">
        <is>
          <t>A 62800-2025</t>
        </is>
      </c>
      <c r="B306" s="1" t="n">
        <v>46008</v>
      </c>
      <c r="C306" s="1" t="n">
        <v>46195</v>
      </c>
      <c r="D306" t="inlineStr">
        <is>
          <t>VÄSTERBOTTENS LÄN</t>
        </is>
      </c>
      <c r="E306" t="inlineStr">
        <is>
          <t>STORUMAN</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37020-2025</t>
        </is>
      </c>
      <c r="B307" s="1" t="n">
        <v>45874</v>
      </c>
      <c r="C307" s="1" t="n">
        <v>46195</v>
      </c>
      <c r="D307" t="inlineStr">
        <is>
          <t>VÄSTERBOTTENS LÄN</t>
        </is>
      </c>
      <c r="E307" t="inlineStr">
        <is>
          <t>STORUMAN</t>
        </is>
      </c>
      <c r="G307" t="n">
        <v>13.3</v>
      </c>
      <c r="H307" t="n">
        <v>0</v>
      </c>
      <c r="I307" t="n">
        <v>0</v>
      </c>
      <c r="J307" t="n">
        <v>0</v>
      </c>
      <c r="K307" t="n">
        <v>0</v>
      </c>
      <c r="L307" t="n">
        <v>0</v>
      </c>
      <c r="M307" t="n">
        <v>0</v>
      </c>
      <c r="N307" t="n">
        <v>0</v>
      </c>
      <c r="O307" t="n">
        <v>0</v>
      </c>
      <c r="P307" t="n">
        <v>0</v>
      </c>
      <c r="Q307" t="n">
        <v>0</v>
      </c>
      <c r="R307" s="2" t="inlineStr"/>
    </row>
    <row r="308" ht="15" customHeight="1">
      <c r="A308" t="inlineStr">
        <is>
          <t>A 37239-2025</t>
        </is>
      </c>
      <c r="B308" s="1" t="n">
        <v>45876</v>
      </c>
      <c r="C308" s="1" t="n">
        <v>46195</v>
      </c>
      <c r="D308" t="inlineStr">
        <is>
          <t>VÄSTERBOTTENS LÄN</t>
        </is>
      </c>
      <c r="E308" t="inlineStr">
        <is>
          <t>STORUMAN</t>
        </is>
      </c>
      <c r="G308" t="n">
        <v>5.2</v>
      </c>
      <c r="H308" t="n">
        <v>0</v>
      </c>
      <c r="I308" t="n">
        <v>0</v>
      </c>
      <c r="J308" t="n">
        <v>0</v>
      </c>
      <c r="K308" t="n">
        <v>0</v>
      </c>
      <c r="L308" t="n">
        <v>0</v>
      </c>
      <c r="M308" t="n">
        <v>0</v>
      </c>
      <c r="N308" t="n">
        <v>0</v>
      </c>
      <c r="O308" t="n">
        <v>0</v>
      </c>
      <c r="P308" t="n">
        <v>0</v>
      </c>
      <c r="Q308" t="n">
        <v>0</v>
      </c>
      <c r="R308" s="2" t="inlineStr"/>
    </row>
    <row r="309" ht="15" customHeight="1">
      <c r="A309" t="inlineStr">
        <is>
          <t>A 37035-2025</t>
        </is>
      </c>
      <c r="B309" s="1" t="n">
        <v>45875</v>
      </c>
      <c r="C309" s="1" t="n">
        <v>46195</v>
      </c>
      <c r="D309" t="inlineStr">
        <is>
          <t>VÄSTERBOTTENS LÄN</t>
        </is>
      </c>
      <c r="E309" t="inlineStr">
        <is>
          <t>STORUMAN</t>
        </is>
      </c>
      <c r="G309" t="n">
        <v>14.8</v>
      </c>
      <c r="H309" t="n">
        <v>0</v>
      </c>
      <c r="I309" t="n">
        <v>0</v>
      </c>
      <c r="J309" t="n">
        <v>0</v>
      </c>
      <c r="K309" t="n">
        <v>0</v>
      </c>
      <c r="L309" t="n">
        <v>0</v>
      </c>
      <c r="M309" t="n">
        <v>0</v>
      </c>
      <c r="N309" t="n">
        <v>0</v>
      </c>
      <c r="O309" t="n">
        <v>0</v>
      </c>
      <c r="P309" t="n">
        <v>0</v>
      </c>
      <c r="Q309" t="n">
        <v>0</v>
      </c>
      <c r="R309" s="2" t="inlineStr"/>
    </row>
    <row r="310" ht="15" customHeight="1">
      <c r="A310" t="inlineStr">
        <is>
          <t>A 51366-2023</t>
        </is>
      </c>
      <c r="B310" s="1" t="n">
        <v>45219</v>
      </c>
      <c r="C310" s="1" t="n">
        <v>46195</v>
      </c>
      <c r="D310" t="inlineStr">
        <is>
          <t>VÄSTERBOTTENS LÄN</t>
        </is>
      </c>
      <c r="E310" t="inlineStr">
        <is>
          <t>STORUMAN</t>
        </is>
      </c>
      <c r="G310" t="n">
        <v>5</v>
      </c>
      <c r="H310" t="n">
        <v>0</v>
      </c>
      <c r="I310" t="n">
        <v>0</v>
      </c>
      <c r="J310" t="n">
        <v>0</v>
      </c>
      <c r="K310" t="n">
        <v>0</v>
      </c>
      <c r="L310" t="n">
        <v>0</v>
      </c>
      <c r="M310" t="n">
        <v>0</v>
      </c>
      <c r="N310" t="n">
        <v>0</v>
      </c>
      <c r="O310" t="n">
        <v>0</v>
      </c>
      <c r="P310" t="n">
        <v>0</v>
      </c>
      <c r="Q310" t="n">
        <v>0</v>
      </c>
      <c r="R310" s="2" t="inlineStr"/>
    </row>
    <row r="311" ht="15" customHeight="1">
      <c r="A311" t="inlineStr">
        <is>
          <t>A 47135-2023</t>
        </is>
      </c>
      <c r="B311" s="1" t="n">
        <v>45196</v>
      </c>
      <c r="C311" s="1" t="n">
        <v>46195</v>
      </c>
      <c r="D311" t="inlineStr">
        <is>
          <t>VÄSTERBOTTENS LÄN</t>
        </is>
      </c>
      <c r="E311" t="inlineStr">
        <is>
          <t>STORUMAN</t>
        </is>
      </c>
      <c r="G311" t="n">
        <v>30.4</v>
      </c>
      <c r="H311" t="n">
        <v>0</v>
      </c>
      <c r="I311" t="n">
        <v>0</v>
      </c>
      <c r="J311" t="n">
        <v>0</v>
      </c>
      <c r="K311" t="n">
        <v>0</v>
      </c>
      <c r="L311" t="n">
        <v>0</v>
      </c>
      <c r="M311" t="n">
        <v>0</v>
      </c>
      <c r="N311" t="n">
        <v>0</v>
      </c>
      <c r="O311" t="n">
        <v>0</v>
      </c>
      <c r="P311" t="n">
        <v>0</v>
      </c>
      <c r="Q311" t="n">
        <v>0</v>
      </c>
      <c r="R311" s="2" t="inlineStr"/>
    </row>
    <row r="312" ht="15" customHeight="1">
      <c r="A312" t="inlineStr">
        <is>
          <t>A 47140-2023</t>
        </is>
      </c>
      <c r="B312" s="1" t="n">
        <v>45196</v>
      </c>
      <c r="C312" s="1" t="n">
        <v>46195</v>
      </c>
      <c r="D312" t="inlineStr">
        <is>
          <t>VÄSTERBOTTENS LÄN</t>
        </is>
      </c>
      <c r="E312" t="inlineStr">
        <is>
          <t>STORUMAN</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15384-2024</t>
        </is>
      </c>
      <c r="B313" s="1" t="n">
        <v>45400</v>
      </c>
      <c r="C313" s="1" t="n">
        <v>46195</v>
      </c>
      <c r="D313" t="inlineStr">
        <is>
          <t>VÄSTERBOTTENS LÄN</t>
        </is>
      </c>
      <c r="E313" t="inlineStr">
        <is>
          <t>STORUMAN</t>
        </is>
      </c>
      <c r="G313" t="n">
        <v>6.3</v>
      </c>
      <c r="H313" t="n">
        <v>0</v>
      </c>
      <c r="I313" t="n">
        <v>0</v>
      </c>
      <c r="J313" t="n">
        <v>0</v>
      </c>
      <c r="K313" t="n">
        <v>0</v>
      </c>
      <c r="L313" t="n">
        <v>0</v>
      </c>
      <c r="M313" t="n">
        <v>0</v>
      </c>
      <c r="N313" t="n">
        <v>0</v>
      </c>
      <c r="O313" t="n">
        <v>0</v>
      </c>
      <c r="P313" t="n">
        <v>0</v>
      </c>
      <c r="Q313" t="n">
        <v>0</v>
      </c>
      <c r="R313" s="2" t="inlineStr"/>
    </row>
    <row r="314" ht="15" customHeight="1">
      <c r="A314" t="inlineStr">
        <is>
          <t>A 44930-2025</t>
        </is>
      </c>
      <c r="B314" s="1" t="n">
        <v>45918</v>
      </c>
      <c r="C314" s="1" t="n">
        <v>46195</v>
      </c>
      <c r="D314" t="inlineStr">
        <is>
          <t>VÄSTERBOTTENS LÄN</t>
        </is>
      </c>
      <c r="E314" t="inlineStr">
        <is>
          <t>STORUMAN</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47299-2023</t>
        </is>
      </c>
      <c r="B315" s="1" t="n">
        <v>45196</v>
      </c>
      <c r="C315" s="1" t="n">
        <v>46195</v>
      </c>
      <c r="D315" t="inlineStr">
        <is>
          <t>VÄSTERBOTTENS LÄN</t>
        </is>
      </c>
      <c r="E315" t="inlineStr">
        <is>
          <t>STORUMAN</t>
        </is>
      </c>
      <c r="G315" t="n">
        <v>12.3</v>
      </c>
      <c r="H315" t="n">
        <v>0</v>
      </c>
      <c r="I315" t="n">
        <v>0</v>
      </c>
      <c r="J315" t="n">
        <v>0</v>
      </c>
      <c r="K315" t="n">
        <v>0</v>
      </c>
      <c r="L315" t="n">
        <v>0</v>
      </c>
      <c r="M315" t="n">
        <v>0</v>
      </c>
      <c r="N315" t="n">
        <v>0</v>
      </c>
      <c r="O315" t="n">
        <v>0</v>
      </c>
      <c r="P315" t="n">
        <v>0</v>
      </c>
      <c r="Q315" t="n">
        <v>0</v>
      </c>
      <c r="R315" s="2" t="inlineStr"/>
    </row>
    <row r="316" ht="15" customHeight="1">
      <c r="A316" t="inlineStr">
        <is>
          <t>A 25818-2024</t>
        </is>
      </c>
      <c r="B316" s="1" t="n">
        <v>45467</v>
      </c>
      <c r="C316" s="1" t="n">
        <v>46195</v>
      </c>
      <c r="D316" t="inlineStr">
        <is>
          <t>VÄSTERBOTTENS LÄN</t>
        </is>
      </c>
      <c r="E316" t="inlineStr">
        <is>
          <t>STORUMAN</t>
        </is>
      </c>
      <c r="G316" t="n">
        <v>7.6</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46195</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27742-2026</t>
        </is>
      </c>
      <c r="B318" s="1" t="n">
        <v>46191</v>
      </c>
      <c r="C318" s="1" t="n">
        <v>46195</v>
      </c>
      <c r="D318" t="inlineStr">
        <is>
          <t>VÄSTERBOTTENS LÄN</t>
        </is>
      </c>
      <c r="E318" t="inlineStr">
        <is>
          <t>STORUMAN</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27744-2026</t>
        </is>
      </c>
      <c r="B319" s="1" t="n">
        <v>46191</v>
      </c>
      <c r="C319" s="1" t="n">
        <v>46195</v>
      </c>
      <c r="D319" t="inlineStr">
        <is>
          <t>VÄSTERBOTTENS LÄN</t>
        </is>
      </c>
      <c r="E319" t="inlineStr">
        <is>
          <t>STORUMAN</t>
        </is>
      </c>
      <c r="F319" t="inlineStr">
        <is>
          <t>Holmen skog AB</t>
        </is>
      </c>
      <c r="G319" t="n">
        <v>2.8</v>
      </c>
      <c r="H319" t="n">
        <v>0</v>
      </c>
      <c r="I319" t="n">
        <v>0</v>
      </c>
      <c r="J319" t="n">
        <v>0</v>
      </c>
      <c r="K319" t="n">
        <v>0</v>
      </c>
      <c r="L319" t="n">
        <v>0</v>
      </c>
      <c r="M319" t="n">
        <v>0</v>
      </c>
      <c r="N319" t="n">
        <v>0</v>
      </c>
      <c r="O319" t="n">
        <v>0</v>
      </c>
      <c r="P319" t="n">
        <v>0</v>
      </c>
      <c r="Q319" t="n">
        <v>0</v>
      </c>
      <c r="R319" s="2" t="inlineStr"/>
    </row>
    <row r="320" ht="15" customHeight="1">
      <c r="A320" t="inlineStr">
        <is>
          <t>A 1769-2026</t>
        </is>
      </c>
      <c r="B320" s="1" t="n">
        <v>46034</v>
      </c>
      <c r="C320" s="1" t="n">
        <v>46195</v>
      </c>
      <c r="D320" t="inlineStr">
        <is>
          <t>VÄSTERBOTTENS LÄN</t>
        </is>
      </c>
      <c r="E320" t="inlineStr">
        <is>
          <t>STORUMAN</t>
        </is>
      </c>
      <c r="G320" t="n">
        <v>3.8</v>
      </c>
      <c r="H320" t="n">
        <v>0</v>
      </c>
      <c r="I320" t="n">
        <v>0</v>
      </c>
      <c r="J320" t="n">
        <v>0</v>
      </c>
      <c r="K320" t="n">
        <v>0</v>
      </c>
      <c r="L320" t="n">
        <v>0</v>
      </c>
      <c r="M320" t="n">
        <v>0</v>
      </c>
      <c r="N320" t="n">
        <v>0</v>
      </c>
      <c r="O320" t="n">
        <v>0</v>
      </c>
      <c r="P320" t="n">
        <v>0</v>
      </c>
      <c r="Q320" t="n">
        <v>0</v>
      </c>
      <c r="R320" s="2" t="inlineStr"/>
    </row>
    <row r="321" ht="15" customHeight="1">
      <c r="A321" t="inlineStr">
        <is>
          <t>A 25262-2024</t>
        </is>
      </c>
      <c r="B321" s="1" t="n">
        <v>45462</v>
      </c>
      <c r="C321" s="1" t="n">
        <v>46195</v>
      </c>
      <c r="D321" t="inlineStr">
        <is>
          <t>VÄSTERBOTTENS LÄN</t>
        </is>
      </c>
      <c r="E321" t="inlineStr">
        <is>
          <t>STORUMAN</t>
        </is>
      </c>
      <c r="G321" t="n">
        <v>17.4</v>
      </c>
      <c r="H321" t="n">
        <v>0</v>
      </c>
      <c r="I321" t="n">
        <v>0</v>
      </c>
      <c r="J321" t="n">
        <v>0</v>
      </c>
      <c r="K321" t="n">
        <v>0</v>
      </c>
      <c r="L321" t="n">
        <v>0</v>
      </c>
      <c r="M321" t="n">
        <v>0</v>
      </c>
      <c r="N321" t="n">
        <v>0</v>
      </c>
      <c r="O321" t="n">
        <v>0</v>
      </c>
      <c r="P321" t="n">
        <v>0</v>
      </c>
      <c r="Q321" t="n">
        <v>0</v>
      </c>
      <c r="R321" s="2" t="inlineStr"/>
    </row>
    <row r="322" ht="15" customHeight="1">
      <c r="A322" t="inlineStr">
        <is>
          <t>A 13708-2022</t>
        </is>
      </c>
      <c r="B322" s="1" t="n">
        <v>44648</v>
      </c>
      <c r="C322" s="1" t="n">
        <v>46195</v>
      </c>
      <c r="D322" t="inlineStr">
        <is>
          <t>VÄSTERBOTTENS LÄN</t>
        </is>
      </c>
      <c r="E322" t="inlineStr">
        <is>
          <t>STORUMAN</t>
        </is>
      </c>
      <c r="G322" t="n">
        <v>17.1</v>
      </c>
      <c r="H322" t="n">
        <v>0</v>
      </c>
      <c r="I322" t="n">
        <v>0</v>
      </c>
      <c r="J322" t="n">
        <v>0</v>
      </c>
      <c r="K322" t="n">
        <v>0</v>
      </c>
      <c r="L322" t="n">
        <v>0</v>
      </c>
      <c r="M322" t="n">
        <v>0</v>
      </c>
      <c r="N322" t="n">
        <v>0</v>
      </c>
      <c r="O322" t="n">
        <v>0</v>
      </c>
      <c r="P322" t="n">
        <v>0</v>
      </c>
      <c r="Q322" t="n">
        <v>0</v>
      </c>
      <c r="R322" s="2" t="inlineStr"/>
    </row>
    <row r="323" ht="15" customHeight="1">
      <c r="A323" t="inlineStr">
        <is>
          <t>A 2209-2026</t>
        </is>
      </c>
      <c r="B323" s="1" t="n">
        <v>46036</v>
      </c>
      <c r="C323" s="1" t="n">
        <v>46195</v>
      </c>
      <c r="D323" t="inlineStr">
        <is>
          <t>VÄSTERBOTTENS LÄN</t>
        </is>
      </c>
      <c r="E323" t="inlineStr">
        <is>
          <t>STORUMAN</t>
        </is>
      </c>
      <c r="G323" t="n">
        <v>17.6</v>
      </c>
      <c r="H323" t="n">
        <v>0</v>
      </c>
      <c r="I323" t="n">
        <v>0</v>
      </c>
      <c r="J323" t="n">
        <v>0</v>
      </c>
      <c r="K323" t="n">
        <v>0</v>
      </c>
      <c r="L323" t="n">
        <v>0</v>
      </c>
      <c r="M323" t="n">
        <v>0</v>
      </c>
      <c r="N323" t="n">
        <v>0</v>
      </c>
      <c r="O323" t="n">
        <v>0</v>
      </c>
      <c r="P323" t="n">
        <v>0</v>
      </c>
      <c r="Q323" t="n">
        <v>0</v>
      </c>
      <c r="R323" s="2" t="inlineStr"/>
    </row>
    <row r="324" ht="15" customHeight="1">
      <c r="A324" t="inlineStr">
        <is>
          <t>A 41842-2024</t>
        </is>
      </c>
      <c r="B324" s="1" t="n">
        <v>45561</v>
      </c>
      <c r="C324" s="1" t="n">
        <v>46195</v>
      </c>
      <c r="D324" t="inlineStr">
        <is>
          <t>VÄSTERBOTTENS LÄN</t>
        </is>
      </c>
      <c r="E324" t="inlineStr">
        <is>
          <t>STORUMAN</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46195</v>
      </c>
      <c r="D325" t="inlineStr">
        <is>
          <t>VÄSTERBOTTENS LÄN</t>
        </is>
      </c>
      <c r="E325" t="inlineStr">
        <is>
          <t>STORUMAN</t>
        </is>
      </c>
      <c r="G325" t="n">
        <v>19.6</v>
      </c>
      <c r="H325" t="n">
        <v>0</v>
      </c>
      <c r="I325" t="n">
        <v>0</v>
      </c>
      <c r="J325" t="n">
        <v>0</v>
      </c>
      <c r="K325" t="n">
        <v>0</v>
      </c>
      <c r="L325" t="n">
        <v>0</v>
      </c>
      <c r="M325" t="n">
        <v>0</v>
      </c>
      <c r="N325" t="n">
        <v>0</v>
      </c>
      <c r="O325" t="n">
        <v>0</v>
      </c>
      <c r="P325" t="n">
        <v>0</v>
      </c>
      <c r="Q325" t="n">
        <v>0</v>
      </c>
      <c r="R325" s="2" t="inlineStr"/>
    </row>
    <row r="326" ht="15" customHeight="1">
      <c r="A326" t="inlineStr">
        <is>
          <t>A 3562-2026</t>
        </is>
      </c>
      <c r="B326" s="1" t="n">
        <v>46042</v>
      </c>
      <c r="C326" s="1" t="n">
        <v>46195</v>
      </c>
      <c r="D326" t="inlineStr">
        <is>
          <t>VÄSTERBOTTENS LÄN</t>
        </is>
      </c>
      <c r="E326" t="inlineStr">
        <is>
          <t>STORUMAN</t>
        </is>
      </c>
      <c r="G326" t="n">
        <v>3.2</v>
      </c>
      <c r="H326" t="n">
        <v>0</v>
      </c>
      <c r="I326" t="n">
        <v>0</v>
      </c>
      <c r="J326" t="n">
        <v>0</v>
      </c>
      <c r="K326" t="n">
        <v>0</v>
      </c>
      <c r="L326" t="n">
        <v>0</v>
      </c>
      <c r="M326" t="n">
        <v>0</v>
      </c>
      <c r="N326" t="n">
        <v>0</v>
      </c>
      <c r="O326" t="n">
        <v>0</v>
      </c>
      <c r="P326" t="n">
        <v>0</v>
      </c>
      <c r="Q326" t="n">
        <v>0</v>
      </c>
      <c r="R326" s="2" t="inlineStr"/>
    </row>
    <row r="327" ht="15" customHeight="1">
      <c r="A327" t="inlineStr">
        <is>
          <t>A 17007-2024</t>
        </is>
      </c>
      <c r="B327" s="1" t="n">
        <v>45411</v>
      </c>
      <c r="C327" s="1" t="n">
        <v>46195</v>
      </c>
      <c r="D327" t="inlineStr">
        <is>
          <t>VÄSTERBOTTENS LÄN</t>
        </is>
      </c>
      <c r="E327" t="inlineStr">
        <is>
          <t>STORUMAN</t>
        </is>
      </c>
      <c r="G327" t="n">
        <v>1.1</v>
      </c>
      <c r="H327" t="n">
        <v>0</v>
      </c>
      <c r="I327" t="n">
        <v>0</v>
      </c>
      <c r="J327" t="n">
        <v>0</v>
      </c>
      <c r="K327" t="n">
        <v>0</v>
      </c>
      <c r="L327" t="n">
        <v>0</v>
      </c>
      <c r="M327" t="n">
        <v>0</v>
      </c>
      <c r="N327" t="n">
        <v>0</v>
      </c>
      <c r="O327" t="n">
        <v>0</v>
      </c>
      <c r="P327" t="n">
        <v>0</v>
      </c>
      <c r="Q327" t="n">
        <v>0</v>
      </c>
      <c r="R327" s="2" t="inlineStr"/>
    </row>
    <row r="328" ht="15" customHeight="1">
      <c r="A328" t="inlineStr">
        <is>
          <t>A 43227-2023</t>
        </is>
      </c>
      <c r="B328" s="1" t="n">
        <v>45180</v>
      </c>
      <c r="C328" s="1" t="n">
        <v>46195</v>
      </c>
      <c r="D328" t="inlineStr">
        <is>
          <t>VÄSTERBOTTENS LÄN</t>
        </is>
      </c>
      <c r="E328" t="inlineStr">
        <is>
          <t>STORUMAN</t>
        </is>
      </c>
      <c r="G328" t="n">
        <v>41.1</v>
      </c>
      <c r="H328" t="n">
        <v>0</v>
      </c>
      <c r="I328" t="n">
        <v>0</v>
      </c>
      <c r="J328" t="n">
        <v>0</v>
      </c>
      <c r="K328" t="n">
        <v>0</v>
      </c>
      <c r="L328" t="n">
        <v>0</v>
      </c>
      <c r="M328" t="n">
        <v>0</v>
      </c>
      <c r="N328" t="n">
        <v>0</v>
      </c>
      <c r="O328" t="n">
        <v>0</v>
      </c>
      <c r="P328" t="n">
        <v>0</v>
      </c>
      <c r="Q328" t="n">
        <v>0</v>
      </c>
      <c r="R328" s="2" t="inlineStr"/>
    </row>
    <row r="329" ht="15" customHeight="1">
      <c r="A329" t="inlineStr">
        <is>
          <t>A 37074-2023</t>
        </is>
      </c>
      <c r="B329" s="1" t="n">
        <v>45155</v>
      </c>
      <c r="C329" s="1" t="n">
        <v>46195</v>
      </c>
      <c r="D329" t="inlineStr">
        <is>
          <t>VÄSTERBOTTENS LÄN</t>
        </is>
      </c>
      <c r="E329" t="inlineStr">
        <is>
          <t>STORUMAN</t>
        </is>
      </c>
      <c r="G329" t="n">
        <v>10.4</v>
      </c>
      <c r="H329" t="n">
        <v>0</v>
      </c>
      <c r="I329" t="n">
        <v>0</v>
      </c>
      <c r="J329" t="n">
        <v>0</v>
      </c>
      <c r="K329" t="n">
        <v>0</v>
      </c>
      <c r="L329" t="n">
        <v>0</v>
      </c>
      <c r="M329" t="n">
        <v>0</v>
      </c>
      <c r="N329" t="n">
        <v>0</v>
      </c>
      <c r="O329" t="n">
        <v>0</v>
      </c>
      <c r="P329" t="n">
        <v>0</v>
      </c>
      <c r="Q329" t="n">
        <v>0</v>
      </c>
      <c r="R329" s="2" t="inlineStr"/>
    </row>
    <row r="330" ht="15" customHeight="1">
      <c r="A330" t="inlineStr">
        <is>
          <t>A 59359-2022</t>
        </is>
      </c>
      <c r="B330" s="1" t="n">
        <v>44904</v>
      </c>
      <c r="C330" s="1" t="n">
        <v>46195</v>
      </c>
      <c r="D330" t="inlineStr">
        <is>
          <t>VÄSTERBOTTENS LÄN</t>
        </is>
      </c>
      <c r="E330" t="inlineStr">
        <is>
          <t>STORUMAN</t>
        </is>
      </c>
      <c r="G330" t="n">
        <v>3.3</v>
      </c>
      <c r="H330" t="n">
        <v>0</v>
      </c>
      <c r="I330" t="n">
        <v>0</v>
      </c>
      <c r="J330" t="n">
        <v>0</v>
      </c>
      <c r="K330" t="n">
        <v>0</v>
      </c>
      <c r="L330" t="n">
        <v>0</v>
      </c>
      <c r="M330" t="n">
        <v>0</v>
      </c>
      <c r="N330" t="n">
        <v>0</v>
      </c>
      <c r="O330" t="n">
        <v>0</v>
      </c>
      <c r="P330" t="n">
        <v>0</v>
      </c>
      <c r="Q330" t="n">
        <v>0</v>
      </c>
      <c r="R330" s="2" t="inlineStr"/>
    </row>
    <row r="331" ht="15" customHeight="1">
      <c r="A331" t="inlineStr">
        <is>
          <t>A 39810-2021</t>
        </is>
      </c>
      <c r="B331" s="1" t="n">
        <v>44417</v>
      </c>
      <c r="C331" s="1" t="n">
        <v>46195</v>
      </c>
      <c r="D331" t="inlineStr">
        <is>
          <t>VÄSTERBOTTENS LÄN</t>
        </is>
      </c>
      <c r="E331" t="inlineStr">
        <is>
          <t>STORUMAN</t>
        </is>
      </c>
      <c r="G331" t="n">
        <v>2</v>
      </c>
      <c r="H331" t="n">
        <v>0</v>
      </c>
      <c r="I331" t="n">
        <v>0</v>
      </c>
      <c r="J331" t="n">
        <v>0</v>
      </c>
      <c r="K331" t="n">
        <v>0</v>
      </c>
      <c r="L331" t="n">
        <v>0</v>
      </c>
      <c r="M331" t="n">
        <v>0</v>
      </c>
      <c r="N331" t="n">
        <v>0</v>
      </c>
      <c r="O331" t="n">
        <v>0</v>
      </c>
      <c r="P331" t="n">
        <v>0</v>
      </c>
      <c r="Q331" t="n">
        <v>0</v>
      </c>
      <c r="R331" s="2" t="inlineStr"/>
    </row>
    <row r="332" ht="15" customHeight="1">
      <c r="A332" t="inlineStr">
        <is>
          <t>A 52209-2024</t>
        </is>
      </c>
      <c r="B332" s="1" t="n">
        <v>45607</v>
      </c>
      <c r="C332" s="1" t="n">
        <v>46195</v>
      </c>
      <c r="D332" t="inlineStr">
        <is>
          <t>VÄSTERBOTTENS LÄN</t>
        </is>
      </c>
      <c r="E332" t="inlineStr">
        <is>
          <t>STORUMAN</t>
        </is>
      </c>
      <c r="F332" t="inlineStr">
        <is>
          <t>Allmännings- och besparingsskogar</t>
        </is>
      </c>
      <c r="G332" t="n">
        <v>16.8</v>
      </c>
      <c r="H332" t="n">
        <v>0</v>
      </c>
      <c r="I332" t="n">
        <v>0</v>
      </c>
      <c r="J332" t="n">
        <v>0</v>
      </c>
      <c r="K332" t="n">
        <v>0</v>
      </c>
      <c r="L332" t="n">
        <v>0</v>
      </c>
      <c r="M332" t="n">
        <v>0</v>
      </c>
      <c r="N332" t="n">
        <v>0</v>
      </c>
      <c r="O332" t="n">
        <v>0</v>
      </c>
      <c r="P332" t="n">
        <v>0</v>
      </c>
      <c r="Q332" t="n">
        <v>0</v>
      </c>
      <c r="R332" s="2" t="inlineStr"/>
    </row>
    <row r="333" ht="15" customHeight="1">
      <c r="A333" t="inlineStr">
        <is>
          <t>A 7224-2026</t>
        </is>
      </c>
      <c r="B333" s="1" t="n">
        <v>46058</v>
      </c>
      <c r="C333" s="1" t="n">
        <v>46195</v>
      </c>
      <c r="D333" t="inlineStr">
        <is>
          <t>VÄSTERBOTTENS LÄN</t>
        </is>
      </c>
      <c r="E333" t="inlineStr">
        <is>
          <t>STORUMAN</t>
        </is>
      </c>
      <c r="G333" t="n">
        <v>2</v>
      </c>
      <c r="H333" t="n">
        <v>0</v>
      </c>
      <c r="I333" t="n">
        <v>0</v>
      </c>
      <c r="J333" t="n">
        <v>0</v>
      </c>
      <c r="K333" t="n">
        <v>0</v>
      </c>
      <c r="L333" t="n">
        <v>0</v>
      </c>
      <c r="M333" t="n">
        <v>0</v>
      </c>
      <c r="N333" t="n">
        <v>0</v>
      </c>
      <c r="O333" t="n">
        <v>0</v>
      </c>
      <c r="P333" t="n">
        <v>0</v>
      </c>
      <c r="Q333" t="n">
        <v>0</v>
      </c>
      <c r="R333" s="2" t="inlineStr"/>
    </row>
    <row r="334" ht="15" customHeight="1">
      <c r="A334" t="inlineStr">
        <is>
          <t>A 46072-2022</t>
        </is>
      </c>
      <c r="B334" s="1" t="n">
        <v>44844</v>
      </c>
      <c r="C334" s="1" t="n">
        <v>46195</v>
      </c>
      <c r="D334" t="inlineStr">
        <is>
          <t>VÄSTERBOTTENS LÄN</t>
        </is>
      </c>
      <c r="E334" t="inlineStr">
        <is>
          <t>STORUMAN</t>
        </is>
      </c>
      <c r="G334" t="n">
        <v>8.4</v>
      </c>
      <c r="H334" t="n">
        <v>0</v>
      </c>
      <c r="I334" t="n">
        <v>0</v>
      </c>
      <c r="J334" t="n">
        <v>0</v>
      </c>
      <c r="K334" t="n">
        <v>0</v>
      </c>
      <c r="L334" t="n">
        <v>0</v>
      </c>
      <c r="M334" t="n">
        <v>0</v>
      </c>
      <c r="N334" t="n">
        <v>0</v>
      </c>
      <c r="O334" t="n">
        <v>0</v>
      </c>
      <c r="P334" t="n">
        <v>0</v>
      </c>
      <c r="Q334" t="n">
        <v>0</v>
      </c>
      <c r="R334" s="2" t="inlineStr"/>
    </row>
    <row r="335" ht="15" customHeight="1">
      <c r="A335" t="inlineStr">
        <is>
          <t>A 46080-2022</t>
        </is>
      </c>
      <c r="B335" s="1" t="n">
        <v>44845</v>
      </c>
      <c r="C335" s="1" t="n">
        <v>46195</v>
      </c>
      <c r="D335" t="inlineStr">
        <is>
          <t>VÄSTERBOTTENS LÄN</t>
        </is>
      </c>
      <c r="E335" t="inlineStr">
        <is>
          <t>STORUMAN</t>
        </is>
      </c>
      <c r="G335" t="n">
        <v>2</v>
      </c>
      <c r="H335" t="n">
        <v>0</v>
      </c>
      <c r="I335" t="n">
        <v>0</v>
      </c>
      <c r="J335" t="n">
        <v>0</v>
      </c>
      <c r="K335" t="n">
        <v>0</v>
      </c>
      <c r="L335" t="n">
        <v>0</v>
      </c>
      <c r="M335" t="n">
        <v>0</v>
      </c>
      <c r="N335" t="n">
        <v>0</v>
      </c>
      <c r="O335" t="n">
        <v>0</v>
      </c>
      <c r="P335" t="n">
        <v>0</v>
      </c>
      <c r="Q335" t="n">
        <v>0</v>
      </c>
      <c r="R335" s="2" t="inlineStr"/>
    </row>
    <row r="336" ht="15" customHeight="1">
      <c r="A336" t="inlineStr">
        <is>
          <t>A 28713-2022</t>
        </is>
      </c>
      <c r="B336" s="1" t="n">
        <v>44748</v>
      </c>
      <c r="C336" s="1" t="n">
        <v>46195</v>
      </c>
      <c r="D336" t="inlineStr">
        <is>
          <t>VÄSTERBOTTENS LÄN</t>
        </is>
      </c>
      <c r="E336" t="inlineStr">
        <is>
          <t>STORUMAN</t>
        </is>
      </c>
      <c r="G336" t="n">
        <v>14.9</v>
      </c>
      <c r="H336" t="n">
        <v>0</v>
      </c>
      <c r="I336" t="n">
        <v>0</v>
      </c>
      <c r="J336" t="n">
        <v>0</v>
      </c>
      <c r="K336" t="n">
        <v>0</v>
      </c>
      <c r="L336" t="n">
        <v>0</v>
      </c>
      <c r="M336" t="n">
        <v>0</v>
      </c>
      <c r="N336" t="n">
        <v>0</v>
      </c>
      <c r="O336" t="n">
        <v>0</v>
      </c>
      <c r="P336" t="n">
        <v>0</v>
      </c>
      <c r="Q336" t="n">
        <v>0</v>
      </c>
      <c r="R336" s="2" t="inlineStr"/>
    </row>
    <row r="337" ht="15" customHeight="1">
      <c r="A337" t="inlineStr">
        <is>
          <t>A 8063-2026</t>
        </is>
      </c>
      <c r="B337" s="1" t="n">
        <v>46063</v>
      </c>
      <c r="C337" s="1" t="n">
        <v>46195</v>
      </c>
      <c r="D337" t="inlineStr">
        <is>
          <t>VÄSTERBOTTENS LÄN</t>
        </is>
      </c>
      <c r="E337" t="inlineStr">
        <is>
          <t>STORUMAN</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1220-2024</t>
        </is>
      </c>
      <c r="B338" s="1" t="n">
        <v>45302</v>
      </c>
      <c r="C338" s="1" t="n">
        <v>46195</v>
      </c>
      <c r="D338" t="inlineStr">
        <is>
          <t>VÄSTERBOTTENS LÄN</t>
        </is>
      </c>
      <c r="E338" t="inlineStr">
        <is>
          <t>STORUMAN</t>
        </is>
      </c>
      <c r="G338" t="n">
        <v>0.9</v>
      </c>
      <c r="H338" t="n">
        <v>0</v>
      </c>
      <c r="I338" t="n">
        <v>0</v>
      </c>
      <c r="J338" t="n">
        <v>0</v>
      </c>
      <c r="K338" t="n">
        <v>0</v>
      </c>
      <c r="L338" t="n">
        <v>0</v>
      </c>
      <c r="M338" t="n">
        <v>0</v>
      </c>
      <c r="N338" t="n">
        <v>0</v>
      </c>
      <c r="O338" t="n">
        <v>0</v>
      </c>
      <c r="P338" t="n">
        <v>0</v>
      </c>
      <c r="Q338" t="n">
        <v>0</v>
      </c>
      <c r="R338" s="2" t="inlineStr"/>
    </row>
    <row r="339" ht="15" customHeight="1">
      <c r="A339" t="inlineStr">
        <is>
          <t>A 8758-2026</t>
        </is>
      </c>
      <c r="B339" s="1" t="n">
        <v>46066</v>
      </c>
      <c r="C339" s="1" t="n">
        <v>46195</v>
      </c>
      <c r="D339" t="inlineStr">
        <is>
          <t>VÄSTERBOTTENS LÄN</t>
        </is>
      </c>
      <c r="E339" t="inlineStr">
        <is>
          <t>STORUMAN</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14956-2023</t>
        </is>
      </c>
      <c r="B340" s="1" t="n">
        <v>45014</v>
      </c>
      <c r="C340" s="1" t="n">
        <v>46195</v>
      </c>
      <c r="D340" t="inlineStr">
        <is>
          <t>VÄSTERBOTTENS LÄN</t>
        </is>
      </c>
      <c r="E340" t="inlineStr">
        <is>
          <t>STORUMAN</t>
        </is>
      </c>
      <c r="G340" t="n">
        <v>0.8</v>
      </c>
      <c r="H340" t="n">
        <v>0</v>
      </c>
      <c r="I340" t="n">
        <v>0</v>
      </c>
      <c r="J340" t="n">
        <v>0</v>
      </c>
      <c r="K340" t="n">
        <v>0</v>
      </c>
      <c r="L340" t="n">
        <v>0</v>
      </c>
      <c r="M340" t="n">
        <v>0</v>
      </c>
      <c r="N340" t="n">
        <v>0</v>
      </c>
      <c r="O340" t="n">
        <v>0</v>
      </c>
      <c r="P340" t="n">
        <v>0</v>
      </c>
      <c r="Q340" t="n">
        <v>0</v>
      </c>
      <c r="R340" s="2" t="inlineStr"/>
    </row>
    <row r="341" ht="15" customHeight="1">
      <c r="A341" t="inlineStr">
        <is>
          <t>A 9048-2026</t>
        </is>
      </c>
      <c r="B341" s="1" t="n">
        <v>46069</v>
      </c>
      <c r="C341" s="1" t="n">
        <v>46195</v>
      </c>
      <c r="D341" t="inlineStr">
        <is>
          <t>VÄSTERBOTTENS LÄN</t>
        </is>
      </c>
      <c r="E341" t="inlineStr">
        <is>
          <t>STORUMAN</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57769-2023</t>
        </is>
      </c>
      <c r="B342" s="1" t="n">
        <v>45246</v>
      </c>
      <c r="C342" s="1" t="n">
        <v>46195</v>
      </c>
      <c r="D342" t="inlineStr">
        <is>
          <t>VÄSTERBOTTENS LÄN</t>
        </is>
      </c>
      <c r="E342" t="inlineStr">
        <is>
          <t>STORUMAN</t>
        </is>
      </c>
      <c r="G342" t="n">
        <v>1.5</v>
      </c>
      <c r="H342" t="n">
        <v>0</v>
      </c>
      <c r="I342" t="n">
        <v>0</v>
      </c>
      <c r="J342" t="n">
        <v>0</v>
      </c>
      <c r="K342" t="n">
        <v>0</v>
      </c>
      <c r="L342" t="n">
        <v>0</v>
      </c>
      <c r="M342" t="n">
        <v>0</v>
      </c>
      <c r="N342" t="n">
        <v>0</v>
      </c>
      <c r="O342" t="n">
        <v>0</v>
      </c>
      <c r="P342" t="n">
        <v>0</v>
      </c>
      <c r="Q342" t="n">
        <v>0</v>
      </c>
      <c r="R342" s="2" t="inlineStr"/>
    </row>
    <row r="343" ht="15" customHeight="1">
      <c r="A343" t="inlineStr">
        <is>
          <t>A 9086-2026</t>
        </is>
      </c>
      <c r="B343" s="1" t="n">
        <v>46069</v>
      </c>
      <c r="C343" s="1" t="n">
        <v>46195</v>
      </c>
      <c r="D343" t="inlineStr">
        <is>
          <t>VÄSTERBOTTENS LÄN</t>
        </is>
      </c>
      <c r="E343" t="inlineStr">
        <is>
          <t>STORUMAN</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9099-2026</t>
        </is>
      </c>
      <c r="B344" s="1" t="n">
        <v>46069</v>
      </c>
      <c r="C344" s="1" t="n">
        <v>46195</v>
      </c>
      <c r="D344" t="inlineStr">
        <is>
          <t>VÄSTERBOTTENS LÄN</t>
        </is>
      </c>
      <c r="E344" t="inlineStr">
        <is>
          <t>STORUMAN</t>
        </is>
      </c>
      <c r="G344" t="n">
        <v>32</v>
      </c>
      <c r="H344" t="n">
        <v>0</v>
      </c>
      <c r="I344" t="n">
        <v>0</v>
      </c>
      <c r="J344" t="n">
        <v>0</v>
      </c>
      <c r="K344" t="n">
        <v>0</v>
      </c>
      <c r="L344" t="n">
        <v>0</v>
      </c>
      <c r="M344" t="n">
        <v>0</v>
      </c>
      <c r="N344" t="n">
        <v>0</v>
      </c>
      <c r="O344" t="n">
        <v>0</v>
      </c>
      <c r="P344" t="n">
        <v>0</v>
      </c>
      <c r="Q344" t="n">
        <v>0</v>
      </c>
      <c r="R344" s="2" t="inlineStr"/>
    </row>
    <row r="345" ht="15" customHeight="1">
      <c r="A345" t="inlineStr">
        <is>
          <t>A 8963-2026</t>
        </is>
      </c>
      <c r="B345" s="1" t="n">
        <v>46069</v>
      </c>
      <c r="C345" s="1" t="n">
        <v>46195</v>
      </c>
      <c r="D345" t="inlineStr">
        <is>
          <t>VÄSTERBOTTENS LÄN</t>
        </is>
      </c>
      <c r="E345" t="inlineStr">
        <is>
          <t>STORUMAN</t>
        </is>
      </c>
      <c r="G345" t="n">
        <v>19.8</v>
      </c>
      <c r="H345" t="n">
        <v>0</v>
      </c>
      <c r="I345" t="n">
        <v>0</v>
      </c>
      <c r="J345" t="n">
        <v>0</v>
      </c>
      <c r="K345" t="n">
        <v>0</v>
      </c>
      <c r="L345" t="n">
        <v>0</v>
      </c>
      <c r="M345" t="n">
        <v>0</v>
      </c>
      <c r="N345" t="n">
        <v>0</v>
      </c>
      <c r="O345" t="n">
        <v>0</v>
      </c>
      <c r="P345" t="n">
        <v>0</v>
      </c>
      <c r="Q345" t="n">
        <v>0</v>
      </c>
      <c r="R345" s="2" t="inlineStr"/>
    </row>
    <row r="346" ht="15" customHeight="1">
      <c r="A346" t="inlineStr">
        <is>
          <t>A 9038-2026</t>
        </is>
      </c>
      <c r="B346" s="1" t="n">
        <v>46069</v>
      </c>
      <c r="C346" s="1" t="n">
        <v>46195</v>
      </c>
      <c r="D346" t="inlineStr">
        <is>
          <t>VÄSTERBOTTENS LÄN</t>
        </is>
      </c>
      <c r="E346" t="inlineStr">
        <is>
          <t>STORUMAN</t>
        </is>
      </c>
      <c r="G346" t="n">
        <v>6.9</v>
      </c>
      <c r="H346" t="n">
        <v>0</v>
      </c>
      <c r="I346" t="n">
        <v>0</v>
      </c>
      <c r="J346" t="n">
        <v>0</v>
      </c>
      <c r="K346" t="n">
        <v>0</v>
      </c>
      <c r="L346" t="n">
        <v>0</v>
      </c>
      <c r="M346" t="n">
        <v>0</v>
      </c>
      <c r="N346" t="n">
        <v>0</v>
      </c>
      <c r="O346" t="n">
        <v>0</v>
      </c>
      <c r="P346" t="n">
        <v>0</v>
      </c>
      <c r="Q346" t="n">
        <v>0</v>
      </c>
      <c r="R346" s="2" t="inlineStr"/>
    </row>
    <row r="347" ht="15" customHeight="1">
      <c r="A347" t="inlineStr">
        <is>
          <t>A 9565-2026</t>
        </is>
      </c>
      <c r="B347" s="1" t="n">
        <v>46071</v>
      </c>
      <c r="C347" s="1" t="n">
        <v>46195</v>
      </c>
      <c r="D347" t="inlineStr">
        <is>
          <t>VÄSTERBOTTENS LÄN</t>
        </is>
      </c>
      <c r="E347" t="inlineStr">
        <is>
          <t>STORUMAN</t>
        </is>
      </c>
      <c r="G347" t="n">
        <v>10</v>
      </c>
      <c r="H347" t="n">
        <v>0</v>
      </c>
      <c r="I347" t="n">
        <v>0</v>
      </c>
      <c r="J347" t="n">
        <v>0</v>
      </c>
      <c r="K347" t="n">
        <v>0</v>
      </c>
      <c r="L347" t="n">
        <v>0</v>
      </c>
      <c r="M347" t="n">
        <v>0</v>
      </c>
      <c r="N347" t="n">
        <v>0</v>
      </c>
      <c r="O347" t="n">
        <v>0</v>
      </c>
      <c r="P347" t="n">
        <v>0</v>
      </c>
      <c r="Q347" t="n">
        <v>0</v>
      </c>
      <c r="R347" s="2" t="inlineStr"/>
    </row>
    <row r="348" ht="15" customHeight="1">
      <c r="A348" t="inlineStr">
        <is>
          <t>A 9829-2026</t>
        </is>
      </c>
      <c r="B348" s="1" t="n">
        <v>46072</v>
      </c>
      <c r="C348" s="1" t="n">
        <v>46195</v>
      </c>
      <c r="D348" t="inlineStr">
        <is>
          <t>VÄSTERBOTTENS LÄN</t>
        </is>
      </c>
      <c r="E348" t="inlineStr">
        <is>
          <t>STORUMAN</t>
        </is>
      </c>
      <c r="F348" t="inlineStr">
        <is>
          <t>SCA</t>
        </is>
      </c>
      <c r="G348" t="n">
        <v>9.1</v>
      </c>
      <c r="H348" t="n">
        <v>0</v>
      </c>
      <c r="I348" t="n">
        <v>0</v>
      </c>
      <c r="J348" t="n">
        <v>0</v>
      </c>
      <c r="K348" t="n">
        <v>0</v>
      </c>
      <c r="L348" t="n">
        <v>0</v>
      </c>
      <c r="M348" t="n">
        <v>0</v>
      </c>
      <c r="N348" t="n">
        <v>0</v>
      </c>
      <c r="O348" t="n">
        <v>0</v>
      </c>
      <c r="P348" t="n">
        <v>0</v>
      </c>
      <c r="Q348" t="n">
        <v>0</v>
      </c>
      <c r="R348" s="2" t="inlineStr"/>
    </row>
    <row r="349" ht="15" customHeight="1">
      <c r="A349" t="inlineStr">
        <is>
          <t>A 9830-2026</t>
        </is>
      </c>
      <c r="B349" s="1" t="n">
        <v>46072</v>
      </c>
      <c r="C349" s="1" t="n">
        <v>46195</v>
      </c>
      <c r="D349" t="inlineStr">
        <is>
          <t>VÄSTERBOTTENS LÄN</t>
        </is>
      </c>
      <c r="E349" t="inlineStr">
        <is>
          <t>STORUMAN</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9944-2026</t>
        </is>
      </c>
      <c r="B350" s="1" t="n">
        <v>46073</v>
      </c>
      <c r="C350" s="1" t="n">
        <v>46195</v>
      </c>
      <c r="D350" t="inlineStr">
        <is>
          <t>VÄSTERBOTTENS LÄN</t>
        </is>
      </c>
      <c r="E350" t="inlineStr">
        <is>
          <t>STORUMAN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9945-2026</t>
        </is>
      </c>
      <c r="B351" s="1" t="n">
        <v>46073</v>
      </c>
      <c r="C351" s="1" t="n">
        <v>46195</v>
      </c>
      <c r="D351" t="inlineStr">
        <is>
          <t>VÄSTERBOTTENS LÄN</t>
        </is>
      </c>
      <c r="E351" t="inlineStr">
        <is>
          <t>STORUMAN</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9948-2026</t>
        </is>
      </c>
      <c r="B352" s="1" t="n">
        <v>46073</v>
      </c>
      <c r="C352" s="1" t="n">
        <v>46195</v>
      </c>
      <c r="D352" t="inlineStr">
        <is>
          <t>VÄSTERBOTTENS LÄN</t>
        </is>
      </c>
      <c r="E352" t="inlineStr">
        <is>
          <t>STORUMAN</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46065-2022</t>
        </is>
      </c>
      <c r="B353" s="1" t="n">
        <v>44844</v>
      </c>
      <c r="C353" s="1" t="n">
        <v>46195</v>
      </c>
      <c r="D353" t="inlineStr">
        <is>
          <t>VÄSTERBOTTENS LÄN</t>
        </is>
      </c>
      <c r="E353" t="inlineStr">
        <is>
          <t>STORUMAN</t>
        </is>
      </c>
      <c r="G353" t="n">
        <v>4.2</v>
      </c>
      <c r="H353" t="n">
        <v>0</v>
      </c>
      <c r="I353" t="n">
        <v>0</v>
      </c>
      <c r="J353" t="n">
        <v>0</v>
      </c>
      <c r="K353" t="n">
        <v>0</v>
      </c>
      <c r="L353" t="n">
        <v>0</v>
      </c>
      <c r="M353" t="n">
        <v>0</v>
      </c>
      <c r="N353" t="n">
        <v>0</v>
      </c>
      <c r="O353" t="n">
        <v>0</v>
      </c>
      <c r="P353" t="n">
        <v>0</v>
      </c>
      <c r="Q353" t="n">
        <v>0</v>
      </c>
      <c r="R353" s="2" t="inlineStr"/>
    </row>
    <row r="354" ht="15" customHeight="1">
      <c r="A354" t="inlineStr">
        <is>
          <t>A 33879-2024</t>
        </is>
      </c>
      <c r="B354" s="1" t="n">
        <v>45522</v>
      </c>
      <c r="C354" s="1" t="n">
        <v>46195</v>
      </c>
      <c r="D354" t="inlineStr">
        <is>
          <t>VÄSTERBOTTENS LÄN</t>
        </is>
      </c>
      <c r="E354" t="inlineStr">
        <is>
          <t>STORUMAN</t>
        </is>
      </c>
      <c r="F354" t="inlineStr">
        <is>
          <t>Holmen skog AB</t>
        </is>
      </c>
      <c r="G354" t="n">
        <v>1</v>
      </c>
      <c r="H354" t="n">
        <v>0</v>
      </c>
      <c r="I354" t="n">
        <v>0</v>
      </c>
      <c r="J354" t="n">
        <v>0</v>
      </c>
      <c r="K354" t="n">
        <v>0</v>
      </c>
      <c r="L354" t="n">
        <v>0</v>
      </c>
      <c r="M354" t="n">
        <v>0</v>
      </c>
      <c r="N354" t="n">
        <v>0</v>
      </c>
      <c r="O354" t="n">
        <v>0</v>
      </c>
      <c r="P354" t="n">
        <v>0</v>
      </c>
      <c r="Q354" t="n">
        <v>0</v>
      </c>
      <c r="R354" s="2" t="inlineStr"/>
    </row>
    <row r="355" ht="15" customHeight="1">
      <c r="A355" t="inlineStr">
        <is>
          <t>A 11030-2026</t>
        </is>
      </c>
      <c r="B355" s="1" t="n">
        <v>46079</v>
      </c>
      <c r="C355" s="1" t="n">
        <v>46195</v>
      </c>
      <c r="D355" t="inlineStr">
        <is>
          <t>VÄSTERBOTTENS LÄN</t>
        </is>
      </c>
      <c r="E355" t="inlineStr">
        <is>
          <t>STORUMAN</t>
        </is>
      </c>
      <c r="G355" t="n">
        <v>5.5</v>
      </c>
      <c r="H355" t="n">
        <v>0</v>
      </c>
      <c r="I355" t="n">
        <v>0</v>
      </c>
      <c r="J355" t="n">
        <v>0</v>
      </c>
      <c r="K355" t="n">
        <v>0</v>
      </c>
      <c r="L355" t="n">
        <v>0</v>
      </c>
      <c r="M355" t="n">
        <v>0</v>
      </c>
      <c r="N355" t="n">
        <v>0</v>
      </c>
      <c r="O355" t="n">
        <v>0</v>
      </c>
      <c r="P355" t="n">
        <v>0</v>
      </c>
      <c r="Q355" t="n">
        <v>0</v>
      </c>
      <c r="R355" s="2" t="inlineStr"/>
    </row>
    <row r="356" ht="15" customHeight="1">
      <c r="A356" t="inlineStr">
        <is>
          <t>A 12004-2026</t>
        </is>
      </c>
      <c r="B356" s="1" t="n">
        <v>46085</v>
      </c>
      <c r="C356" s="1" t="n">
        <v>46195</v>
      </c>
      <c r="D356" t="inlineStr">
        <is>
          <t>VÄSTERBOTTENS LÄN</t>
        </is>
      </c>
      <c r="E356" t="inlineStr">
        <is>
          <t>STORUMAN</t>
        </is>
      </c>
      <c r="F356" t="inlineStr">
        <is>
          <t>Holmen skog AB</t>
        </is>
      </c>
      <c r="G356" t="n">
        <v>1</v>
      </c>
      <c r="H356" t="n">
        <v>0</v>
      </c>
      <c r="I356" t="n">
        <v>0</v>
      </c>
      <c r="J356" t="n">
        <v>0</v>
      </c>
      <c r="K356" t="n">
        <v>0</v>
      </c>
      <c r="L356" t="n">
        <v>0</v>
      </c>
      <c r="M356" t="n">
        <v>0</v>
      </c>
      <c r="N356" t="n">
        <v>0</v>
      </c>
      <c r="O356" t="n">
        <v>0</v>
      </c>
      <c r="P356" t="n">
        <v>0</v>
      </c>
      <c r="Q356" t="n">
        <v>0</v>
      </c>
      <c r="R356" s="2" t="inlineStr"/>
    </row>
    <row r="357" ht="15" customHeight="1">
      <c r="A357" t="inlineStr">
        <is>
          <t>A 11995-2026</t>
        </is>
      </c>
      <c r="B357" s="1" t="n">
        <v>46085</v>
      </c>
      <c r="C357" s="1" t="n">
        <v>46195</v>
      </c>
      <c r="D357" t="inlineStr">
        <is>
          <t>VÄSTERBOTTENS LÄN</t>
        </is>
      </c>
      <c r="E357" t="inlineStr">
        <is>
          <t>STORUMAN</t>
        </is>
      </c>
      <c r="F357" t="inlineStr">
        <is>
          <t>Holmen skog AB</t>
        </is>
      </c>
      <c r="G357" t="n">
        <v>7</v>
      </c>
      <c r="H357" t="n">
        <v>0</v>
      </c>
      <c r="I357" t="n">
        <v>0</v>
      </c>
      <c r="J357" t="n">
        <v>0</v>
      </c>
      <c r="K357" t="n">
        <v>0</v>
      </c>
      <c r="L357" t="n">
        <v>0</v>
      </c>
      <c r="M357" t="n">
        <v>0</v>
      </c>
      <c r="N357" t="n">
        <v>0</v>
      </c>
      <c r="O357" t="n">
        <v>0</v>
      </c>
      <c r="P357" t="n">
        <v>0</v>
      </c>
      <c r="Q357" t="n">
        <v>0</v>
      </c>
      <c r="R357" s="2" t="inlineStr"/>
    </row>
    <row r="358" ht="15" customHeight="1">
      <c r="A358" t="inlineStr">
        <is>
          <t>A 12815-2026</t>
        </is>
      </c>
      <c r="B358" s="1" t="n">
        <v>46091</v>
      </c>
      <c r="C358" s="1" t="n">
        <v>46195</v>
      </c>
      <c r="D358" t="inlineStr">
        <is>
          <t>VÄSTERBOTTENS LÄN</t>
        </is>
      </c>
      <c r="E358" t="inlineStr">
        <is>
          <t>STORUMAN</t>
        </is>
      </c>
      <c r="G358" t="n">
        <v>9.5</v>
      </c>
      <c r="H358" t="n">
        <v>0</v>
      </c>
      <c r="I358" t="n">
        <v>0</v>
      </c>
      <c r="J358" t="n">
        <v>0</v>
      </c>
      <c r="K358" t="n">
        <v>0</v>
      </c>
      <c r="L358" t="n">
        <v>0</v>
      </c>
      <c r="M358" t="n">
        <v>0</v>
      </c>
      <c r="N358" t="n">
        <v>0</v>
      </c>
      <c r="O358" t="n">
        <v>0</v>
      </c>
      <c r="P358" t="n">
        <v>0</v>
      </c>
      <c r="Q358" t="n">
        <v>0</v>
      </c>
      <c r="R358" s="2" t="inlineStr"/>
    </row>
    <row r="359" ht="15" customHeight="1">
      <c r="A359" t="inlineStr">
        <is>
          <t>A 31741-2022</t>
        </is>
      </c>
      <c r="B359" s="1" t="n">
        <v>44776</v>
      </c>
      <c r="C359" s="1" t="n">
        <v>46195</v>
      </c>
      <c r="D359" t="inlineStr">
        <is>
          <t>VÄSTERBOTTENS LÄN</t>
        </is>
      </c>
      <c r="E359" t="inlineStr">
        <is>
          <t>STORUMAN</t>
        </is>
      </c>
      <c r="F359" t="inlineStr">
        <is>
          <t>Sveaskog</t>
        </is>
      </c>
      <c r="G359" t="n">
        <v>13.3</v>
      </c>
      <c r="H359" t="n">
        <v>0</v>
      </c>
      <c r="I359" t="n">
        <v>0</v>
      </c>
      <c r="J359" t="n">
        <v>0</v>
      </c>
      <c r="K359" t="n">
        <v>0</v>
      </c>
      <c r="L359" t="n">
        <v>0</v>
      </c>
      <c r="M359" t="n">
        <v>0</v>
      </c>
      <c r="N359" t="n">
        <v>0</v>
      </c>
      <c r="O359" t="n">
        <v>0</v>
      </c>
      <c r="P359" t="n">
        <v>0</v>
      </c>
      <c r="Q359" t="n">
        <v>0</v>
      </c>
      <c r="R359" s="2" t="inlineStr"/>
    </row>
    <row r="360" ht="15" customHeight="1">
      <c r="A360" t="inlineStr">
        <is>
          <t>A 40059-2024</t>
        </is>
      </c>
      <c r="B360" s="1" t="n">
        <v>45553</v>
      </c>
      <c r="C360" s="1" t="n">
        <v>46195</v>
      </c>
      <c r="D360" t="inlineStr">
        <is>
          <t>VÄSTERBOTTENS LÄN</t>
        </is>
      </c>
      <c r="E360" t="inlineStr">
        <is>
          <t>STORUMAN</t>
        </is>
      </c>
      <c r="G360" t="n">
        <v>9.6</v>
      </c>
      <c r="H360" t="n">
        <v>0</v>
      </c>
      <c r="I360" t="n">
        <v>0</v>
      </c>
      <c r="J360" t="n">
        <v>0</v>
      </c>
      <c r="K360" t="n">
        <v>0</v>
      </c>
      <c r="L360" t="n">
        <v>0</v>
      </c>
      <c r="M360" t="n">
        <v>0</v>
      </c>
      <c r="N360" t="n">
        <v>0</v>
      </c>
      <c r="O360" t="n">
        <v>0</v>
      </c>
      <c r="P360" t="n">
        <v>0</v>
      </c>
      <c r="Q360" t="n">
        <v>0</v>
      </c>
      <c r="R360" s="2" t="inlineStr"/>
    </row>
    <row r="361" ht="15" customHeight="1">
      <c r="A361" t="inlineStr">
        <is>
          <t>A 12452-2026</t>
        </is>
      </c>
      <c r="B361" s="1" t="n">
        <v>46090</v>
      </c>
      <c r="C361" s="1" t="n">
        <v>46195</v>
      </c>
      <c r="D361" t="inlineStr">
        <is>
          <t>VÄSTERBOTTENS LÄN</t>
        </is>
      </c>
      <c r="E361" t="inlineStr">
        <is>
          <t>STORUMAN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12444-2026</t>
        </is>
      </c>
      <c r="B362" s="1" t="n">
        <v>46090</v>
      </c>
      <c r="C362" s="1" t="n">
        <v>46195</v>
      </c>
      <c r="D362" t="inlineStr">
        <is>
          <t>VÄSTERBOTTENS LÄN</t>
        </is>
      </c>
      <c r="E362" t="inlineStr">
        <is>
          <t>STORUMAN</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46195</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13119-2026</t>
        </is>
      </c>
      <c r="B364" s="1" t="n">
        <v>46093</v>
      </c>
      <c r="C364" s="1" t="n">
        <v>46195</v>
      </c>
      <c r="D364" t="inlineStr">
        <is>
          <t>VÄSTERBOTTENS LÄN</t>
        </is>
      </c>
      <c r="E364" t="inlineStr">
        <is>
          <t>STORUMAN</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13771-2026</t>
        </is>
      </c>
      <c r="B365" s="1" t="n">
        <v>46097</v>
      </c>
      <c r="C365" s="1" t="n">
        <v>46195</v>
      </c>
      <c r="D365" t="inlineStr">
        <is>
          <t>VÄSTERBOTTENS LÄN</t>
        </is>
      </c>
      <c r="E365" t="inlineStr">
        <is>
          <t>STORUMAN</t>
        </is>
      </c>
      <c r="G365" t="n">
        <v>1.7</v>
      </c>
      <c r="H365" t="n">
        <v>0</v>
      </c>
      <c r="I365" t="n">
        <v>0</v>
      </c>
      <c r="J365" t="n">
        <v>0</v>
      </c>
      <c r="K365" t="n">
        <v>0</v>
      </c>
      <c r="L365" t="n">
        <v>0</v>
      </c>
      <c r="M365" t="n">
        <v>0</v>
      </c>
      <c r="N365" t="n">
        <v>0</v>
      </c>
      <c r="O365" t="n">
        <v>0</v>
      </c>
      <c r="P365" t="n">
        <v>0</v>
      </c>
      <c r="Q365" t="n">
        <v>0</v>
      </c>
      <c r="R365" s="2" t="inlineStr"/>
    </row>
    <row r="366" ht="15" customHeight="1">
      <c r="A366" t="inlineStr">
        <is>
          <t>A 14185-2022</t>
        </is>
      </c>
      <c r="B366" s="1" t="n">
        <v>44650</v>
      </c>
      <c r="C366" s="1" t="n">
        <v>46195</v>
      </c>
      <c r="D366" t="inlineStr">
        <is>
          <t>VÄSTERBOTTENS LÄN</t>
        </is>
      </c>
      <c r="E366" t="inlineStr">
        <is>
          <t>STORUMAN</t>
        </is>
      </c>
      <c r="F366" t="inlineStr">
        <is>
          <t>Övriga statliga verk och myndigheter</t>
        </is>
      </c>
      <c r="G366" t="n">
        <v>4.8</v>
      </c>
      <c r="H366" t="n">
        <v>0</v>
      </c>
      <c r="I366" t="n">
        <v>0</v>
      </c>
      <c r="J366" t="n">
        <v>0</v>
      </c>
      <c r="K366" t="n">
        <v>0</v>
      </c>
      <c r="L366" t="n">
        <v>0</v>
      </c>
      <c r="M366" t="n">
        <v>0</v>
      </c>
      <c r="N366" t="n">
        <v>0</v>
      </c>
      <c r="O366" t="n">
        <v>0</v>
      </c>
      <c r="P366" t="n">
        <v>0</v>
      </c>
      <c r="Q366" t="n">
        <v>0</v>
      </c>
      <c r="R366" s="2" t="inlineStr"/>
    </row>
    <row r="367" ht="15" customHeight="1">
      <c r="A367" t="inlineStr">
        <is>
          <t>A 14636-2026</t>
        </is>
      </c>
      <c r="B367" s="1" t="n">
        <v>46101</v>
      </c>
      <c r="C367" s="1" t="n">
        <v>46195</v>
      </c>
      <c r="D367" t="inlineStr">
        <is>
          <t>VÄSTERBOTTENS LÄN</t>
        </is>
      </c>
      <c r="E367" t="inlineStr">
        <is>
          <t>STORUMAN</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14723-2026</t>
        </is>
      </c>
      <c r="B368" s="1" t="n">
        <v>46101</v>
      </c>
      <c r="C368" s="1" t="n">
        <v>46195</v>
      </c>
      <c r="D368" t="inlineStr">
        <is>
          <t>VÄSTERBOTTENS LÄN</t>
        </is>
      </c>
      <c r="E368" t="inlineStr">
        <is>
          <t>STORUMAN</t>
        </is>
      </c>
      <c r="G368" t="n">
        <v>10.6</v>
      </c>
      <c r="H368" t="n">
        <v>0</v>
      </c>
      <c r="I368" t="n">
        <v>0</v>
      </c>
      <c r="J368" t="n">
        <v>0</v>
      </c>
      <c r="K368" t="n">
        <v>0</v>
      </c>
      <c r="L368" t="n">
        <v>0</v>
      </c>
      <c r="M368" t="n">
        <v>0</v>
      </c>
      <c r="N368" t="n">
        <v>0</v>
      </c>
      <c r="O368" t="n">
        <v>0</v>
      </c>
      <c r="P368" t="n">
        <v>0</v>
      </c>
      <c r="Q368" t="n">
        <v>0</v>
      </c>
      <c r="R368" s="2" t="inlineStr"/>
    </row>
    <row r="369" ht="15" customHeight="1">
      <c r="A369" t="inlineStr">
        <is>
          <t>A 51949-2025</t>
        </is>
      </c>
      <c r="B369" s="1" t="n">
        <v>45952</v>
      </c>
      <c r="C369" s="1" t="n">
        <v>46195</v>
      </c>
      <c r="D369" t="inlineStr">
        <is>
          <t>VÄSTERBOTTENS LÄN</t>
        </is>
      </c>
      <c r="E369" t="inlineStr">
        <is>
          <t>STORUMAN</t>
        </is>
      </c>
      <c r="G369" t="n">
        <v>48</v>
      </c>
      <c r="H369" t="n">
        <v>0</v>
      </c>
      <c r="I369" t="n">
        <v>0</v>
      </c>
      <c r="J369" t="n">
        <v>0</v>
      </c>
      <c r="K369" t="n">
        <v>0</v>
      </c>
      <c r="L369" t="n">
        <v>0</v>
      </c>
      <c r="M369" t="n">
        <v>0</v>
      </c>
      <c r="N369" t="n">
        <v>0</v>
      </c>
      <c r="O369" t="n">
        <v>0</v>
      </c>
      <c r="P369" t="n">
        <v>0</v>
      </c>
      <c r="Q369" t="n">
        <v>0</v>
      </c>
      <c r="R369" s="2" t="inlineStr"/>
    </row>
    <row r="370" ht="15" customHeight="1">
      <c r="A370" t="inlineStr">
        <is>
          <t>A 5394-2026</t>
        </is>
      </c>
      <c r="B370" s="1" t="n">
        <v>46048</v>
      </c>
      <c r="C370" s="1" t="n">
        <v>46195</v>
      </c>
      <c r="D370" t="inlineStr">
        <is>
          <t>VÄSTERBOTTENS LÄN</t>
        </is>
      </c>
      <c r="E370" t="inlineStr">
        <is>
          <t>STORUMAN</t>
        </is>
      </c>
      <c r="G370" t="n">
        <v>3.2</v>
      </c>
      <c r="H370" t="n">
        <v>0</v>
      </c>
      <c r="I370" t="n">
        <v>0</v>
      </c>
      <c r="J370" t="n">
        <v>0</v>
      </c>
      <c r="K370" t="n">
        <v>0</v>
      </c>
      <c r="L370" t="n">
        <v>0</v>
      </c>
      <c r="M370" t="n">
        <v>0</v>
      </c>
      <c r="N370" t="n">
        <v>0</v>
      </c>
      <c r="O370" t="n">
        <v>0</v>
      </c>
      <c r="P370" t="n">
        <v>0</v>
      </c>
      <c r="Q370" t="n">
        <v>0</v>
      </c>
      <c r="R370" s="2" t="inlineStr"/>
    </row>
    <row r="371" ht="15" customHeight="1">
      <c r="A371" t="inlineStr">
        <is>
          <t>A 21662-2025</t>
        </is>
      </c>
      <c r="B371" s="1" t="n">
        <v>45783</v>
      </c>
      <c r="C371" s="1" t="n">
        <v>46195</v>
      </c>
      <c r="D371" t="inlineStr">
        <is>
          <t>VÄSTERBOTTENS LÄN</t>
        </is>
      </c>
      <c r="E371" t="inlineStr">
        <is>
          <t>STORUMAN</t>
        </is>
      </c>
      <c r="G371" t="n">
        <v>47.2</v>
      </c>
      <c r="H371" t="n">
        <v>0</v>
      </c>
      <c r="I371" t="n">
        <v>0</v>
      </c>
      <c r="J371" t="n">
        <v>0</v>
      </c>
      <c r="K371" t="n">
        <v>0</v>
      </c>
      <c r="L371" t="n">
        <v>0</v>
      </c>
      <c r="M371" t="n">
        <v>0</v>
      </c>
      <c r="N371" t="n">
        <v>0</v>
      </c>
      <c r="O371" t="n">
        <v>0</v>
      </c>
      <c r="P371" t="n">
        <v>0</v>
      </c>
      <c r="Q371" t="n">
        <v>0</v>
      </c>
      <c r="R371" s="2" t="inlineStr"/>
    </row>
    <row r="372" ht="15" customHeight="1">
      <c r="A372" t="inlineStr">
        <is>
          <t>A 36308-2025</t>
        </is>
      </c>
      <c r="B372" s="1" t="n">
        <v>45868</v>
      </c>
      <c r="C372" s="1" t="n">
        <v>46195</v>
      </c>
      <c r="D372" t="inlineStr">
        <is>
          <t>VÄSTERBOTTENS LÄN</t>
        </is>
      </c>
      <c r="E372" t="inlineStr">
        <is>
          <t>STORUMAN</t>
        </is>
      </c>
      <c r="G372" t="n">
        <v>25.3</v>
      </c>
      <c r="H372" t="n">
        <v>0</v>
      </c>
      <c r="I372" t="n">
        <v>0</v>
      </c>
      <c r="J372" t="n">
        <v>0</v>
      </c>
      <c r="K372" t="n">
        <v>0</v>
      </c>
      <c r="L372" t="n">
        <v>0</v>
      </c>
      <c r="M372" t="n">
        <v>0</v>
      </c>
      <c r="N372" t="n">
        <v>0</v>
      </c>
      <c r="O372" t="n">
        <v>0</v>
      </c>
      <c r="P372" t="n">
        <v>0</v>
      </c>
      <c r="Q372" t="n">
        <v>0</v>
      </c>
      <c r="R372" s="2" t="inlineStr"/>
    </row>
    <row r="373" ht="15" customHeight="1">
      <c r="A373" t="inlineStr">
        <is>
          <t>A 16792-2026</t>
        </is>
      </c>
      <c r="B373" s="1" t="n">
        <v>46113</v>
      </c>
      <c r="C373" s="1" t="n">
        <v>46195</v>
      </c>
      <c r="D373" t="inlineStr">
        <is>
          <t>VÄSTERBOTTENS LÄN</t>
        </is>
      </c>
      <c r="E373" t="inlineStr">
        <is>
          <t>STORUMAN</t>
        </is>
      </c>
      <c r="G373" t="n">
        <v>9</v>
      </c>
      <c r="H373" t="n">
        <v>0</v>
      </c>
      <c r="I373" t="n">
        <v>0</v>
      </c>
      <c r="J373" t="n">
        <v>0</v>
      </c>
      <c r="K373" t="n">
        <v>0</v>
      </c>
      <c r="L373" t="n">
        <v>0</v>
      </c>
      <c r="M373" t="n">
        <v>0</v>
      </c>
      <c r="N373" t="n">
        <v>0</v>
      </c>
      <c r="O373" t="n">
        <v>0</v>
      </c>
      <c r="P373" t="n">
        <v>0</v>
      </c>
      <c r="Q373" t="n">
        <v>0</v>
      </c>
      <c r="R373" s="2" t="inlineStr"/>
    </row>
    <row r="374" ht="15" customHeight="1">
      <c r="A374" t="inlineStr">
        <is>
          <t>A 23243-2026</t>
        </is>
      </c>
      <c r="B374" s="1" t="n">
        <v>46162</v>
      </c>
      <c r="C374" s="1" t="n">
        <v>46195</v>
      </c>
      <c r="D374" t="inlineStr">
        <is>
          <t>VÄSTERBOTTENS LÄN</t>
        </is>
      </c>
      <c r="E374" t="inlineStr">
        <is>
          <t>STORUMAN</t>
        </is>
      </c>
      <c r="G374" t="n">
        <v>4.5</v>
      </c>
      <c r="H374" t="n">
        <v>0</v>
      </c>
      <c r="I374" t="n">
        <v>0</v>
      </c>
      <c r="J374" t="n">
        <v>0</v>
      </c>
      <c r="K374" t="n">
        <v>0</v>
      </c>
      <c r="L374" t="n">
        <v>0</v>
      </c>
      <c r="M374" t="n">
        <v>0</v>
      </c>
      <c r="N374" t="n">
        <v>0</v>
      </c>
      <c r="O374" t="n">
        <v>0</v>
      </c>
      <c r="P374" t="n">
        <v>0</v>
      </c>
      <c r="Q374" t="n">
        <v>0</v>
      </c>
      <c r="R374" s="2" t="inlineStr"/>
    </row>
    <row r="375" ht="15" customHeight="1">
      <c r="A375" t="inlineStr">
        <is>
          <t>A 23616-2026</t>
        </is>
      </c>
      <c r="B375" s="1" t="n">
        <v>46162</v>
      </c>
      <c r="C375" s="1" t="n">
        <v>46195</v>
      </c>
      <c r="D375" t="inlineStr">
        <is>
          <t>VÄSTERBOTTENS LÄN</t>
        </is>
      </c>
      <c r="E375" t="inlineStr">
        <is>
          <t>STORUMAN</t>
        </is>
      </c>
      <c r="G375" t="n">
        <v>6.2</v>
      </c>
      <c r="H375" t="n">
        <v>0</v>
      </c>
      <c r="I375" t="n">
        <v>0</v>
      </c>
      <c r="J375" t="n">
        <v>0</v>
      </c>
      <c r="K375" t="n">
        <v>0</v>
      </c>
      <c r="L375" t="n">
        <v>0</v>
      </c>
      <c r="M375" t="n">
        <v>0</v>
      </c>
      <c r="N375" t="n">
        <v>0</v>
      </c>
      <c r="O375" t="n">
        <v>0</v>
      </c>
      <c r="P375" t="n">
        <v>0</v>
      </c>
      <c r="Q375" t="n">
        <v>0</v>
      </c>
      <c r="R375" s="2" t="inlineStr"/>
    </row>
    <row r="376" ht="15" customHeight="1">
      <c r="A376" t="inlineStr">
        <is>
          <t>A 59598-2025</t>
        </is>
      </c>
      <c r="B376" s="1" t="n">
        <v>45992</v>
      </c>
      <c r="C376" s="1" t="n">
        <v>46195</v>
      </c>
      <c r="D376" t="inlineStr">
        <is>
          <t>VÄSTERBOTTENS LÄN</t>
        </is>
      </c>
      <c r="E376" t="inlineStr">
        <is>
          <t>STORUMAN</t>
        </is>
      </c>
      <c r="G376" t="n">
        <v>16.8</v>
      </c>
      <c r="H376" t="n">
        <v>0</v>
      </c>
      <c r="I376" t="n">
        <v>0</v>
      </c>
      <c r="J376" t="n">
        <v>0</v>
      </c>
      <c r="K376" t="n">
        <v>0</v>
      </c>
      <c r="L376" t="n">
        <v>0</v>
      </c>
      <c r="M376" t="n">
        <v>0</v>
      </c>
      <c r="N376" t="n">
        <v>0</v>
      </c>
      <c r="O376" t="n">
        <v>0</v>
      </c>
      <c r="P376" t="n">
        <v>0</v>
      </c>
      <c r="Q376" t="n">
        <v>0</v>
      </c>
      <c r="R376" s="2" t="inlineStr"/>
    </row>
    <row r="377" ht="15" customHeight="1">
      <c r="A377" t="inlineStr">
        <is>
          <t>A 59583-2025</t>
        </is>
      </c>
      <c r="B377" s="1" t="n">
        <v>45992</v>
      </c>
      <c r="C377" s="1" t="n">
        <v>46195</v>
      </c>
      <c r="D377" t="inlineStr">
        <is>
          <t>VÄSTERBOTTENS LÄN</t>
        </is>
      </c>
      <c r="E377" t="inlineStr">
        <is>
          <t>STORUMAN</t>
        </is>
      </c>
      <c r="G377" t="n">
        <v>15</v>
      </c>
      <c r="H377" t="n">
        <v>0</v>
      </c>
      <c r="I377" t="n">
        <v>0</v>
      </c>
      <c r="J377" t="n">
        <v>0</v>
      </c>
      <c r="K377" t="n">
        <v>0</v>
      </c>
      <c r="L377" t="n">
        <v>0</v>
      </c>
      <c r="M377" t="n">
        <v>0</v>
      </c>
      <c r="N377" t="n">
        <v>0</v>
      </c>
      <c r="O377" t="n">
        <v>0</v>
      </c>
      <c r="P377" t="n">
        <v>0</v>
      </c>
      <c r="Q377" t="n">
        <v>0</v>
      </c>
      <c r="R377" s="2" t="inlineStr"/>
    </row>
    <row r="378" ht="15" customHeight="1">
      <c r="A378" t="inlineStr">
        <is>
          <t>A 24094-2026</t>
        </is>
      </c>
      <c r="B378" s="1" t="n">
        <v>46168</v>
      </c>
      <c r="C378" s="1" t="n">
        <v>46195</v>
      </c>
      <c r="D378" t="inlineStr">
        <is>
          <t>VÄSTERBOTTENS LÄN</t>
        </is>
      </c>
      <c r="E378" t="inlineStr">
        <is>
          <t>STORUMAN</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24821-2026</t>
        </is>
      </c>
      <c r="B379" s="1" t="n">
        <v>46174</v>
      </c>
      <c r="C379" s="1" t="n">
        <v>46195</v>
      </c>
      <c r="D379" t="inlineStr">
        <is>
          <t>VÄSTERBOTTENS LÄN</t>
        </is>
      </c>
      <c r="E379" t="inlineStr">
        <is>
          <t>STORUMAN</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22816-2026</t>
        </is>
      </c>
      <c r="B380" s="1" t="n">
        <v>46160</v>
      </c>
      <c r="C380" s="1" t="n">
        <v>46195</v>
      </c>
      <c r="D380" t="inlineStr">
        <is>
          <t>VÄSTERBOTTENS LÄN</t>
        </is>
      </c>
      <c r="E380" t="inlineStr">
        <is>
          <t>STORUMAN</t>
        </is>
      </c>
      <c r="G380" t="n">
        <v>21.9</v>
      </c>
      <c r="H380" t="n">
        <v>0</v>
      </c>
      <c r="I380" t="n">
        <v>0</v>
      </c>
      <c r="J380" t="n">
        <v>0</v>
      </c>
      <c r="K380" t="n">
        <v>0</v>
      </c>
      <c r="L380" t="n">
        <v>0</v>
      </c>
      <c r="M380" t="n">
        <v>0</v>
      </c>
      <c r="N380" t="n">
        <v>0</v>
      </c>
      <c r="O380" t="n">
        <v>0</v>
      </c>
      <c r="P380" t="n">
        <v>0</v>
      </c>
      <c r="Q380" t="n">
        <v>0</v>
      </c>
      <c r="R380" s="2" t="inlineStr"/>
    </row>
    <row r="381" ht="15" customHeight="1">
      <c r="A381" t="inlineStr">
        <is>
          <t>A 19574-2026</t>
        </is>
      </c>
      <c r="B381" s="1" t="n">
        <v>46134</v>
      </c>
      <c r="C381" s="1" t="n">
        <v>46195</v>
      </c>
      <c r="D381" t="inlineStr">
        <is>
          <t>VÄSTERBOTTENS LÄN</t>
        </is>
      </c>
      <c r="E381" t="inlineStr">
        <is>
          <t>STORUMAN</t>
        </is>
      </c>
      <c r="G381" t="n">
        <v>26</v>
      </c>
      <c r="H381" t="n">
        <v>0</v>
      </c>
      <c r="I381" t="n">
        <v>0</v>
      </c>
      <c r="J381" t="n">
        <v>0</v>
      </c>
      <c r="K381" t="n">
        <v>0</v>
      </c>
      <c r="L381" t="n">
        <v>0</v>
      </c>
      <c r="M381" t="n">
        <v>0</v>
      </c>
      <c r="N381" t="n">
        <v>0</v>
      </c>
      <c r="O381" t="n">
        <v>0</v>
      </c>
      <c r="P381" t="n">
        <v>0</v>
      </c>
      <c r="Q381" t="n">
        <v>0</v>
      </c>
      <c r="R381" s="2" t="inlineStr"/>
    </row>
    <row r="382" ht="15" customHeight="1">
      <c r="A382" t="inlineStr">
        <is>
          <t>A 19554-2026</t>
        </is>
      </c>
      <c r="B382" s="1" t="n">
        <v>46134</v>
      </c>
      <c r="C382" s="1" t="n">
        <v>46195</v>
      </c>
      <c r="D382" t="inlineStr">
        <is>
          <t>VÄSTERBOTTENS LÄN</t>
        </is>
      </c>
      <c r="E382" t="inlineStr">
        <is>
          <t>STORUMAN</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19681-2026</t>
        </is>
      </c>
      <c r="B383" s="1" t="n">
        <v>46134</v>
      </c>
      <c r="C383" s="1" t="n">
        <v>46195</v>
      </c>
      <c r="D383" t="inlineStr">
        <is>
          <t>VÄSTERBOTTENS LÄN</t>
        </is>
      </c>
      <c r="E383" t="inlineStr">
        <is>
          <t>STORUMAN</t>
        </is>
      </c>
      <c r="F383" t="inlineStr">
        <is>
          <t>Sveaskog</t>
        </is>
      </c>
      <c r="G383" t="n">
        <v>13.2</v>
      </c>
      <c r="H383" t="n">
        <v>0</v>
      </c>
      <c r="I383" t="n">
        <v>0</v>
      </c>
      <c r="J383" t="n">
        <v>0</v>
      </c>
      <c r="K383" t="n">
        <v>0</v>
      </c>
      <c r="L383" t="n">
        <v>0</v>
      </c>
      <c r="M383" t="n">
        <v>0</v>
      </c>
      <c r="N383" t="n">
        <v>0</v>
      </c>
      <c r="O383" t="n">
        <v>0</v>
      </c>
      <c r="P383" t="n">
        <v>0</v>
      </c>
      <c r="Q383" t="n">
        <v>0</v>
      </c>
      <c r="R383" s="2" t="inlineStr"/>
    </row>
    <row r="384" ht="15" customHeight="1">
      <c r="A384" t="inlineStr">
        <is>
          <t>A 20132-2026</t>
        </is>
      </c>
      <c r="B384" s="1" t="n">
        <v>46136</v>
      </c>
      <c r="C384" s="1" t="n">
        <v>46195</v>
      </c>
      <c r="D384" t="inlineStr">
        <is>
          <t>VÄSTERBOTTENS LÄN</t>
        </is>
      </c>
      <c r="E384" t="inlineStr">
        <is>
          <t>STORUMAN</t>
        </is>
      </c>
      <c r="F384" t="inlineStr">
        <is>
          <t>Sveaskog</t>
        </is>
      </c>
      <c r="G384" t="n">
        <v>40.9</v>
      </c>
      <c r="H384" t="n">
        <v>0</v>
      </c>
      <c r="I384" t="n">
        <v>0</v>
      </c>
      <c r="J384" t="n">
        <v>0</v>
      </c>
      <c r="K384" t="n">
        <v>0</v>
      </c>
      <c r="L384" t="n">
        <v>0</v>
      </c>
      <c r="M384" t="n">
        <v>0</v>
      </c>
      <c r="N384" t="n">
        <v>0</v>
      </c>
      <c r="O384" t="n">
        <v>0</v>
      </c>
      <c r="P384" t="n">
        <v>0</v>
      </c>
      <c r="Q384" t="n">
        <v>0</v>
      </c>
      <c r="R384" s="2" t="inlineStr"/>
    </row>
    <row r="385" ht="15" customHeight="1">
      <c r="A385" t="inlineStr">
        <is>
          <t>A 20134-2026</t>
        </is>
      </c>
      <c r="B385" s="1" t="n">
        <v>46136</v>
      </c>
      <c r="C385" s="1" t="n">
        <v>46195</v>
      </c>
      <c r="D385" t="inlineStr">
        <is>
          <t>VÄSTERBOTTENS LÄN</t>
        </is>
      </c>
      <c r="E385" t="inlineStr">
        <is>
          <t>STORUMAN</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20075-2026</t>
        </is>
      </c>
      <c r="B386" s="1" t="n">
        <v>46135</v>
      </c>
      <c r="C386" s="1" t="n">
        <v>46195</v>
      </c>
      <c r="D386" t="inlineStr">
        <is>
          <t>VÄSTERBOTTENS LÄN</t>
        </is>
      </c>
      <c r="E386" t="inlineStr">
        <is>
          <t>STORUMAN</t>
        </is>
      </c>
      <c r="G386" t="n">
        <v>3.7</v>
      </c>
      <c r="H386" t="n">
        <v>0</v>
      </c>
      <c r="I386" t="n">
        <v>0</v>
      </c>
      <c r="J386" t="n">
        <v>0</v>
      </c>
      <c r="K386" t="n">
        <v>0</v>
      </c>
      <c r="L386" t="n">
        <v>0</v>
      </c>
      <c r="M386" t="n">
        <v>0</v>
      </c>
      <c r="N386" t="n">
        <v>0</v>
      </c>
      <c r="O386" t="n">
        <v>0</v>
      </c>
      <c r="P386" t="n">
        <v>0</v>
      </c>
      <c r="Q386" t="n">
        <v>0</v>
      </c>
      <c r="R386" s="2" t="inlineStr"/>
    </row>
    <row r="387" ht="15" customHeight="1">
      <c r="A387" t="inlineStr">
        <is>
          <t>A 45754-2022</t>
        </is>
      </c>
      <c r="B387" s="1" t="n">
        <v>44846</v>
      </c>
      <c r="C387" s="1" t="n">
        <v>46195</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2024-2024</t>
        </is>
      </c>
      <c r="B388" s="1" t="n">
        <v>45308</v>
      </c>
      <c r="C388" s="1" t="n">
        <v>46195</v>
      </c>
      <c r="D388" t="inlineStr">
        <is>
          <t>VÄSTERBOTTENS LÄN</t>
        </is>
      </c>
      <c r="E388" t="inlineStr">
        <is>
          <t>STORUMAN</t>
        </is>
      </c>
      <c r="G388" t="n">
        <v>1.3</v>
      </c>
      <c r="H388" t="n">
        <v>0</v>
      </c>
      <c r="I388" t="n">
        <v>0</v>
      </c>
      <c r="J388" t="n">
        <v>0</v>
      </c>
      <c r="K388" t="n">
        <v>0</v>
      </c>
      <c r="L388" t="n">
        <v>0</v>
      </c>
      <c r="M388" t="n">
        <v>0</v>
      </c>
      <c r="N388" t="n">
        <v>0</v>
      </c>
      <c r="O388" t="n">
        <v>0</v>
      </c>
      <c r="P388" t="n">
        <v>0</v>
      </c>
      <c r="Q388" t="n">
        <v>0</v>
      </c>
      <c r="R388" s="2" t="inlineStr"/>
    </row>
    <row r="389" ht="15" customHeight="1">
      <c r="A389" t="inlineStr">
        <is>
          <t>A 38366-2024</t>
        </is>
      </c>
      <c r="B389" s="1" t="n">
        <v>45545</v>
      </c>
      <c r="C389" s="1" t="n">
        <v>46195</v>
      </c>
      <c r="D389" t="inlineStr">
        <is>
          <t>VÄSTERBOTTENS LÄN</t>
        </is>
      </c>
      <c r="E389" t="inlineStr">
        <is>
          <t>STORUMAN</t>
        </is>
      </c>
      <c r="G389" t="n">
        <v>5.9</v>
      </c>
      <c r="H389" t="n">
        <v>0</v>
      </c>
      <c r="I389" t="n">
        <v>0</v>
      </c>
      <c r="J389" t="n">
        <v>0</v>
      </c>
      <c r="K389" t="n">
        <v>0</v>
      </c>
      <c r="L389" t="n">
        <v>0</v>
      </c>
      <c r="M389" t="n">
        <v>0</v>
      </c>
      <c r="N389" t="n">
        <v>0</v>
      </c>
      <c r="O389" t="n">
        <v>0</v>
      </c>
      <c r="P389" t="n">
        <v>0</v>
      </c>
      <c r="Q389" t="n">
        <v>0</v>
      </c>
      <c r="R389" s="2" t="inlineStr"/>
    </row>
    <row r="390" ht="15" customHeight="1">
      <c r="A390" t="inlineStr">
        <is>
          <t>A 25018-2024</t>
        </is>
      </c>
      <c r="B390" s="1" t="n">
        <v>45461</v>
      </c>
      <c r="C390" s="1" t="n">
        <v>46195</v>
      </c>
      <c r="D390" t="inlineStr">
        <is>
          <t>VÄSTERBOTTENS LÄN</t>
        </is>
      </c>
      <c r="E390" t="inlineStr">
        <is>
          <t>STORUMAN</t>
        </is>
      </c>
      <c r="G390" t="n">
        <v>3.1</v>
      </c>
      <c r="H390" t="n">
        <v>0</v>
      </c>
      <c r="I390" t="n">
        <v>0</v>
      </c>
      <c r="J390" t="n">
        <v>0</v>
      </c>
      <c r="K390" t="n">
        <v>0</v>
      </c>
      <c r="L390" t="n">
        <v>0</v>
      </c>
      <c r="M390" t="n">
        <v>0</v>
      </c>
      <c r="N390" t="n">
        <v>0</v>
      </c>
      <c r="O390" t="n">
        <v>0</v>
      </c>
      <c r="P390" t="n">
        <v>0</v>
      </c>
      <c r="Q390" t="n">
        <v>0</v>
      </c>
      <c r="R390" s="2" t="inlineStr"/>
    </row>
    <row r="391" ht="15" customHeight="1">
      <c r="A391" t="inlineStr">
        <is>
          <t>A 44681-2025</t>
        </is>
      </c>
      <c r="B391" s="1" t="n">
        <v>45917</v>
      </c>
      <c r="C391" s="1" t="n">
        <v>46195</v>
      </c>
      <c r="D391" t="inlineStr">
        <is>
          <t>VÄSTERBOTTENS LÄN</t>
        </is>
      </c>
      <c r="E391" t="inlineStr">
        <is>
          <t>STORUMAN</t>
        </is>
      </c>
      <c r="F391" t="inlineStr">
        <is>
          <t>Holmen skog AB</t>
        </is>
      </c>
      <c r="G391" t="n">
        <v>8.6</v>
      </c>
      <c r="H391" t="n">
        <v>0</v>
      </c>
      <c r="I391" t="n">
        <v>0</v>
      </c>
      <c r="J391" t="n">
        <v>0</v>
      </c>
      <c r="K391" t="n">
        <v>0</v>
      </c>
      <c r="L391" t="n">
        <v>0</v>
      </c>
      <c r="M391" t="n">
        <v>0</v>
      </c>
      <c r="N391" t="n">
        <v>0</v>
      </c>
      <c r="O391" t="n">
        <v>0</v>
      </c>
      <c r="P391" t="n">
        <v>0</v>
      </c>
      <c r="Q391" t="n">
        <v>0</v>
      </c>
      <c r="R391" s="2" t="inlineStr"/>
    </row>
    <row r="392" ht="15" customHeight="1">
      <c r="A392" t="inlineStr">
        <is>
          <t>A 26046-2026</t>
        </is>
      </c>
      <c r="B392" s="1" t="n">
        <v>46181</v>
      </c>
      <c r="C392" s="1" t="n">
        <v>46195</v>
      </c>
      <c r="D392" t="inlineStr">
        <is>
          <t>VÄSTERBOTTENS LÄN</t>
        </is>
      </c>
      <c r="E392" t="inlineStr">
        <is>
          <t>STORUMAN</t>
        </is>
      </c>
      <c r="G392" t="n">
        <v>29.6</v>
      </c>
      <c r="H392" t="n">
        <v>0</v>
      </c>
      <c r="I392" t="n">
        <v>0</v>
      </c>
      <c r="J392" t="n">
        <v>0</v>
      </c>
      <c r="K392" t="n">
        <v>0</v>
      </c>
      <c r="L392" t="n">
        <v>0</v>
      </c>
      <c r="M392" t="n">
        <v>0</v>
      </c>
      <c r="N392" t="n">
        <v>0</v>
      </c>
      <c r="O392" t="n">
        <v>0</v>
      </c>
      <c r="P392" t="n">
        <v>0</v>
      </c>
      <c r="Q392" t="n">
        <v>0</v>
      </c>
      <c r="R392" s="2" t="inlineStr"/>
    </row>
    <row r="393" ht="15" customHeight="1">
      <c r="A393" t="inlineStr">
        <is>
          <t>A 26353-2026</t>
        </is>
      </c>
      <c r="B393" s="1" t="n">
        <v>46182</v>
      </c>
      <c r="C393" s="1" t="n">
        <v>46195</v>
      </c>
      <c r="D393" t="inlineStr">
        <is>
          <t>VÄSTERBOTTENS LÄN</t>
        </is>
      </c>
      <c r="E393" t="inlineStr">
        <is>
          <t>STORUMAN</t>
        </is>
      </c>
      <c r="G393" t="n">
        <v>1.4</v>
      </c>
      <c r="H393" t="n">
        <v>0</v>
      </c>
      <c r="I393" t="n">
        <v>0</v>
      </c>
      <c r="J393" t="n">
        <v>0</v>
      </c>
      <c r="K393" t="n">
        <v>0</v>
      </c>
      <c r="L393" t="n">
        <v>0</v>
      </c>
      <c r="M393" t="n">
        <v>0</v>
      </c>
      <c r="N393" t="n">
        <v>0</v>
      </c>
      <c r="O393" t="n">
        <v>0</v>
      </c>
      <c r="P393" t="n">
        <v>0</v>
      </c>
      <c r="Q393" t="n">
        <v>0</v>
      </c>
      <c r="R393" s="2" t="inlineStr"/>
    </row>
    <row r="394" ht="15" customHeight="1">
      <c r="A394" t="inlineStr">
        <is>
          <t>A 42012-2025</t>
        </is>
      </c>
      <c r="B394" s="1" t="n">
        <v>45903</v>
      </c>
      <c r="C394" s="1" t="n">
        <v>46195</v>
      </c>
      <c r="D394" t="inlineStr">
        <is>
          <t>VÄSTERBOTTENS LÄN</t>
        </is>
      </c>
      <c r="E394" t="inlineStr">
        <is>
          <t>STORUMAN</t>
        </is>
      </c>
      <c r="G394" t="n">
        <v>2.4</v>
      </c>
      <c r="H394" t="n">
        <v>0</v>
      </c>
      <c r="I394" t="n">
        <v>0</v>
      </c>
      <c r="J394" t="n">
        <v>0</v>
      </c>
      <c r="K394" t="n">
        <v>0</v>
      </c>
      <c r="L394" t="n">
        <v>0</v>
      </c>
      <c r="M394" t="n">
        <v>0</v>
      </c>
      <c r="N394" t="n">
        <v>0</v>
      </c>
      <c r="O394" t="n">
        <v>0</v>
      </c>
      <c r="P394" t="n">
        <v>0</v>
      </c>
      <c r="Q394" t="n">
        <v>0</v>
      </c>
      <c r="R394" s="2" t="inlineStr"/>
    </row>
    <row r="395" ht="15" customHeight="1">
      <c r="A395" t="inlineStr">
        <is>
          <t>A 35067-2025</t>
        </is>
      </c>
      <c r="B395" s="1" t="n">
        <v>45852</v>
      </c>
      <c r="C395" s="1" t="n">
        <v>46195</v>
      </c>
      <c r="D395" t="inlineStr">
        <is>
          <t>VÄSTERBOTTENS LÄN</t>
        </is>
      </c>
      <c r="E395" t="inlineStr">
        <is>
          <t>STORUMAN</t>
        </is>
      </c>
      <c r="F395" t="inlineStr">
        <is>
          <t>Holmen skog AB</t>
        </is>
      </c>
      <c r="G395" t="n">
        <v>2.8</v>
      </c>
      <c r="H395" t="n">
        <v>0</v>
      </c>
      <c r="I395" t="n">
        <v>0</v>
      </c>
      <c r="J395" t="n">
        <v>0</v>
      </c>
      <c r="K395" t="n">
        <v>0</v>
      </c>
      <c r="L395" t="n">
        <v>0</v>
      </c>
      <c r="M395" t="n">
        <v>0</v>
      </c>
      <c r="N395" t="n">
        <v>0</v>
      </c>
      <c r="O395" t="n">
        <v>0</v>
      </c>
      <c r="P395" t="n">
        <v>0</v>
      </c>
      <c r="Q395" t="n">
        <v>0</v>
      </c>
      <c r="R395" s="2" t="inlineStr"/>
    </row>
    <row r="396" ht="15" customHeight="1">
      <c r="A396" t="inlineStr">
        <is>
          <t>A 26024-2026</t>
        </is>
      </c>
      <c r="B396" s="1" t="n">
        <v>46181</v>
      </c>
      <c r="C396" s="1" t="n">
        <v>46195</v>
      </c>
      <c r="D396" t="inlineStr">
        <is>
          <t>VÄSTERBOTTENS LÄN</t>
        </is>
      </c>
      <c r="E396" t="inlineStr">
        <is>
          <t>STORUMAN</t>
        </is>
      </c>
      <c r="G396" t="n">
        <v>7.8</v>
      </c>
      <c r="H396" t="n">
        <v>0</v>
      </c>
      <c r="I396" t="n">
        <v>0</v>
      </c>
      <c r="J396" t="n">
        <v>0</v>
      </c>
      <c r="K396" t="n">
        <v>0</v>
      </c>
      <c r="L396" t="n">
        <v>0</v>
      </c>
      <c r="M396" t="n">
        <v>0</v>
      </c>
      <c r="N396" t="n">
        <v>0</v>
      </c>
      <c r="O396" t="n">
        <v>0</v>
      </c>
      <c r="P396" t="n">
        <v>0</v>
      </c>
      <c r="Q396" t="n">
        <v>0</v>
      </c>
      <c r="R396" s="2" t="inlineStr"/>
    </row>
    <row r="397" ht="15" customHeight="1">
      <c r="A397" t="inlineStr">
        <is>
          <t>A 14803-2024</t>
        </is>
      </c>
      <c r="B397" s="1" t="n">
        <v>45397</v>
      </c>
      <c r="C397" s="1" t="n">
        <v>46195</v>
      </c>
      <c r="D397" t="inlineStr">
        <is>
          <t>VÄSTERBOTTENS LÄN</t>
        </is>
      </c>
      <c r="E397" t="inlineStr">
        <is>
          <t>STORUMAN</t>
        </is>
      </c>
      <c r="G397" t="n">
        <v>7</v>
      </c>
      <c r="H397" t="n">
        <v>0</v>
      </c>
      <c r="I397" t="n">
        <v>0</v>
      </c>
      <c r="J397" t="n">
        <v>0</v>
      </c>
      <c r="K397" t="n">
        <v>0</v>
      </c>
      <c r="L397" t="n">
        <v>0</v>
      </c>
      <c r="M397" t="n">
        <v>0</v>
      </c>
      <c r="N397" t="n">
        <v>0</v>
      </c>
      <c r="O397" t="n">
        <v>0</v>
      </c>
      <c r="P397" t="n">
        <v>0</v>
      </c>
      <c r="Q397" t="n">
        <v>0</v>
      </c>
      <c r="R397" s="2" t="inlineStr"/>
    </row>
    <row r="398">
      <c r="A398" t="inlineStr">
        <is>
          <t>A 35711-2025</t>
        </is>
      </c>
      <c r="B398" s="1" t="n">
        <v>45860</v>
      </c>
      <c r="C398" s="1" t="n">
        <v>46195</v>
      </c>
      <c r="D398" t="inlineStr">
        <is>
          <t>VÄSTERBOTTENS LÄN</t>
        </is>
      </c>
      <c r="E398" t="inlineStr">
        <is>
          <t>STORUMAN</t>
        </is>
      </c>
      <c r="F398" t="inlineStr">
        <is>
          <t>Holmen skog AB</t>
        </is>
      </c>
      <c r="G398" t="n">
        <v>1.2</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2026-06-22T00:46:38Z</dcterms:created>
  <dcterms:modified xmlns:dcterms="http://purl.org/dc/terms/" xmlns:xsi="http://www.w3.org/2001/XMLSchema-instance" xsi:type="dcterms:W3CDTF">2026-06-22T00:46:38Z</dcterms:modified>
</cp:coreProperties>
</file>