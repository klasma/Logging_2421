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45758</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45758</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45758</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45758</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45758</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45758</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45758</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45758</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45758</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45758</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45758</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45758</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45758</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45758</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45758</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45758</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45758</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45758</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45758</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45758</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45758</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45758</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45758</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45758</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45758</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45758</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45758</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45758</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45758</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45758</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45758</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45758</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45758</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45758</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45758</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45758</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45758</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45758</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45758</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45758</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45758</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45758</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45758</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45758</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45758</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45758</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45758</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45758</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45758</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45758</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45758</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45758</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45758</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45758</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45758</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45758</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45758</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45758</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45758</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45758</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45758</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45758</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45758</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45758</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45758</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45758</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45758</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45758</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45758</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45758</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45758</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45758</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45758</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45758</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45758</v>
      </c>
      <c r="D76" t="inlineStr">
        <is>
          <t>VÄSTERBOTTENS LÄN</t>
        </is>
      </c>
      <c r="E76" t="inlineStr">
        <is>
          <t>STORUMAN</t>
        </is>
      </c>
      <c r="G76" t="n">
        <v>31.8</v>
      </c>
      <c r="H76" t="n">
        <v>0</v>
      </c>
      <c r="I76" t="n">
        <v>0</v>
      </c>
      <c r="J76" t="n">
        <v>3</v>
      </c>
      <c r="K76" t="n">
        <v>0</v>
      </c>
      <c r="L76" t="n">
        <v>0</v>
      </c>
      <c r="M76" t="n">
        <v>0</v>
      </c>
      <c r="N76" t="n">
        <v>0</v>
      </c>
      <c r="O76" t="n">
        <v>3</v>
      </c>
      <c r="P76" t="n">
        <v>0</v>
      </c>
      <c r="Q76" t="n">
        <v>3</v>
      </c>
      <c r="R76" s="2" t="inlineStr">
        <is>
          <t>Garnlav
Lunglav
Skrovellav</t>
        </is>
      </c>
      <c r="S76">
        <f>HYPERLINK("https://klasma.github.io/Logging_242421/artfynd/A 11190-2025 artfynd.xlsx", "A 11190-2025")</f>
        <v/>
      </c>
      <c r="T76">
        <f>HYPERLINK("https://klasma.github.io/Logging_242421/kartor/A 11190-2025 karta.png", "A 11190-2025")</f>
        <v/>
      </c>
      <c r="V76">
        <f>HYPERLINK("https://klasma.github.io/Logging_242421/klagomål/A 11190-2025 FSC-klagomål.docx", "A 11190-2025")</f>
        <v/>
      </c>
      <c r="W76">
        <f>HYPERLINK("https://klasma.github.io/Logging_242421/klagomålsmail/A 11190-2025 FSC-klagomål mail.docx", "A 11190-2025")</f>
        <v/>
      </c>
      <c r="X76">
        <f>HYPERLINK("https://klasma.github.io/Logging_242421/tillsyn/A 11190-2025 tillsynsbegäran.docx", "A 11190-2025")</f>
        <v/>
      </c>
      <c r="Y76">
        <f>HYPERLINK("https://klasma.github.io/Logging_242421/tillsynsmail/A 11190-2025 tillsynsbegäran mail.docx", "A 11190-2025")</f>
        <v/>
      </c>
    </row>
    <row r="77" ht="15" customHeight="1">
      <c r="A77" t="inlineStr">
        <is>
          <t>A 42000-2019</t>
        </is>
      </c>
      <c r="B77" s="1" t="n">
        <v>43700</v>
      </c>
      <c r="C77" s="1" t="n">
        <v>45758</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45758</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45758</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45758</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45758</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45758</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45758</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45758</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45758</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45758</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45758</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45758</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45758</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45758</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45758</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45758</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45758</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45758</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45758</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45758</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45758</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45758</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45758</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45758</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45758</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45758</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45758</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45758</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45758</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45758</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45758</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45758</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45758</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45758</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45758</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45758</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45758</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45758</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45758</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45758</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45758</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45758</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45758</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45758</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45758</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45758</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45758</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45758</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45758</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45758</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45758</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45758</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45758</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45758</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45758</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45758</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45758</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45758</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45758</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45758</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45758</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45758</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45758</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45758</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45758</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45758</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45758</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45758</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45758</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45758</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45758</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45758</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45758</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45758</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45758</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45758</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45758</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45758</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45758</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45758</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45758</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45758</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45758</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45758</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45758</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45758</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45758</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45758</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45758</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45758</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45758</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45758</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45758</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45758</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45758</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45758</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45758</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45758</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45758</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45758</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45758</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45758</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45758</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45758</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45758</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45758</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45758</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45758</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45758</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45758</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45758</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45758</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45758</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45758</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45758</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45758</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45758</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45758</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45758</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45758</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45758</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45758</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45758</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45758</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45758</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45758</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45758</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45758</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45758</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45758</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45758</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45758</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45758</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45758</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45758</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45758</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45758</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45758</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45758</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45758</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45758</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45758</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45758</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45758</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45758</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45758</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45758</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45758</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45758</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45758</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45758</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45758</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45758</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45758</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45758</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45758</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45758</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45758</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45758</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45758</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45758</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45758</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45758</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45758</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45758</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45758</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45758</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45758</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45758</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45758</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45758</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45758</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45758</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45758</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45758</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45758</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45758</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45758</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45758</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45758</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45758</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45758</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45758</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45758</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45758</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45758</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45758</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45758</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45758</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45758</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45758</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45758</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45758</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45758</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45758</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45758</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45758</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45758</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45758</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45758</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45758</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45758</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45758</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45758</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45758</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45758</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45758</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45758</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45758</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45758</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45758</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45758</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45758</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45758</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45758</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45758</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45758</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45758</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45758</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45758</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45758</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45758</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45758</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45758</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45758</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45758</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45758</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45758</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45758</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45758</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45758</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45758</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45758</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45758</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45758</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45758</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45758</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45758</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45758</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45758</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45758</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45758</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45758</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45758</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45758</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45758</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45758</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45758</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45758</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45758</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45758</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45758</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45758</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45758</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45758</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45758</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45758</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45758</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45758</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45758</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45758</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45758</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45758</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45758</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45758</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45758</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45758</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45758</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45758</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45758</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45758</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45758</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45758</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45758</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45758</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45758</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45758</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45758</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45758</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45758</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45758</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45758</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45758</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45758</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45758</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45758</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45758</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45758</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45758</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45758</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45758</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45758</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45758</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45758</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45758</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45758</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45758</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45758</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45758</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45758</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45758</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45758</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45758</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45758</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45758</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45758</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45758</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45758</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45758</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45758</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45758</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45758</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45758</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45758</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45758</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45758</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45758</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45758</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45758</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45758</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45758</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45758</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45758</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45758</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45758</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45758</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45758</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45758</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45758</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45758</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45758</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45758</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45758</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45758</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45758</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45758</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45758</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45758</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45758</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45758</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45758</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45758</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45758</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45758</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45758</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45758</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45758</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45758</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45758</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45758</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45758</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45758</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45758</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45758</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45758</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45758</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45758</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45758</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45758</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45758</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45758</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45758</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45758</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45758</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45758</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45758</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45758</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45758</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45758</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45758</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45758</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45758</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45758</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45758</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45758</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45758</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45758</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45758</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45758</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45758</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45758</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45758</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45758</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45758</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45758</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45758</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45758</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45758</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45758</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45758</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45758</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45758</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45758</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45758</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45758</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45758</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45758</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45758</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45758</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45758</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45758</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45758</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45758</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45758</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45758</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45758</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45758</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45758</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45758</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45758</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45758</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45758</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45758</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45758</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45758</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45758</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45758</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45758</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45758</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45758</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45758</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45758</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45758</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45758</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45758</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45758</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45758</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45758</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45758</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45758</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45758</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45758</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45758</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45758</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45758</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45758</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45758</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45758</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45758</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45758</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45758</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45758</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45758</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45758</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45758</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45758</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45758</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45758</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45758</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45758</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45758</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45758</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45758</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45758</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45758</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45758</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45758</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45758</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45758</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45758</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45758</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45758</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45758</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45758</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45758</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45758</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45758</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45758</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45758</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45758</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45758</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45758</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45758</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45758</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45758</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45758</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45758</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45758</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45758</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45758</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45758</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45758</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45758</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45758</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45758</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45758</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45758</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45758</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45758</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45758</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45758</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45758</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45758</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45758</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45758</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45758</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45758</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45758</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45758</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45758</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45758</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45758</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45758</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45758</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45758</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45758</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45758</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45758</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45758</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45758</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45758</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45758</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45758</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45758</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45758</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45758</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45758</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45758</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45758</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45758</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45758</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45758</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45758</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45758</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45758</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45758</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45758</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45758</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45758</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45758</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45758</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45758</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45758</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45758</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45758</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45758</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45758</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45758</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45758</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45758</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45758</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45758</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45758</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45758</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45758</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45758</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45758</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45758</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45758</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45758</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45758</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45758</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45758</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45758</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45758</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45758</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45758</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45758</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45758</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45758</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45758</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45758</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45758</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45758</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45758</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45758</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45758</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45758</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45758</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45758</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ht="15" customHeight="1">
      <c r="A647" t="inlineStr">
        <is>
          <t>A 11279-2025</t>
        </is>
      </c>
      <c r="B647" s="1" t="n">
        <v>45726</v>
      </c>
      <c r="C647" s="1" t="n">
        <v>45758</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row r="648" ht="15" customHeight="1">
      <c r="A648" t="inlineStr">
        <is>
          <t>A 12667-2025</t>
        </is>
      </c>
      <c r="B648" s="1" t="n">
        <v>45733</v>
      </c>
      <c r="C648" s="1" t="n">
        <v>45758</v>
      </c>
      <c r="D648" t="inlineStr">
        <is>
          <t>VÄSTERBOTTENS LÄN</t>
        </is>
      </c>
      <c r="E648" t="inlineStr">
        <is>
          <t>STORUMAN</t>
        </is>
      </c>
      <c r="G648" t="n">
        <v>1.5</v>
      </c>
      <c r="H648" t="n">
        <v>0</v>
      </c>
      <c r="I648" t="n">
        <v>0</v>
      </c>
      <c r="J648" t="n">
        <v>0</v>
      </c>
      <c r="K648" t="n">
        <v>0</v>
      </c>
      <c r="L648" t="n">
        <v>0</v>
      </c>
      <c r="M648" t="n">
        <v>0</v>
      </c>
      <c r="N648" t="n">
        <v>0</v>
      </c>
      <c r="O648" t="n">
        <v>0</v>
      </c>
      <c r="P648" t="n">
        <v>0</v>
      </c>
      <c r="Q648" t="n">
        <v>0</v>
      </c>
      <c r="R648" s="2" t="inlineStr"/>
    </row>
    <row r="649" ht="15" customHeight="1">
      <c r="A649" t="inlineStr">
        <is>
          <t>A 12860-2025</t>
        </is>
      </c>
      <c r="B649" s="1" t="n">
        <v>45733</v>
      </c>
      <c r="C649" s="1" t="n">
        <v>45758</v>
      </c>
      <c r="D649" t="inlineStr">
        <is>
          <t>VÄSTERBOTTENS LÄN</t>
        </is>
      </c>
      <c r="E649" t="inlineStr">
        <is>
          <t>STORUMAN</t>
        </is>
      </c>
      <c r="G649" t="n">
        <v>0.2</v>
      </c>
      <c r="H649" t="n">
        <v>0</v>
      </c>
      <c r="I649" t="n">
        <v>0</v>
      </c>
      <c r="J649" t="n">
        <v>0</v>
      </c>
      <c r="K649" t="n">
        <v>0</v>
      </c>
      <c r="L649" t="n">
        <v>0</v>
      </c>
      <c r="M649" t="n">
        <v>0</v>
      </c>
      <c r="N649" t="n">
        <v>0</v>
      </c>
      <c r="O649" t="n">
        <v>0</v>
      </c>
      <c r="P649" t="n">
        <v>0</v>
      </c>
      <c r="Q649" t="n">
        <v>0</v>
      </c>
      <c r="R649" s="2" t="inlineStr"/>
    </row>
    <row r="650" ht="15" customHeight="1">
      <c r="A650" t="inlineStr">
        <is>
          <t>A 12869-2025</t>
        </is>
      </c>
      <c r="B650" s="1" t="n">
        <v>45733</v>
      </c>
      <c r="C650" s="1" t="n">
        <v>45758</v>
      </c>
      <c r="D650" t="inlineStr">
        <is>
          <t>VÄSTERBOTTENS LÄN</t>
        </is>
      </c>
      <c r="E650" t="inlineStr">
        <is>
          <t>STORUMAN</t>
        </is>
      </c>
      <c r="G650" t="n">
        <v>0.3</v>
      </c>
      <c r="H650" t="n">
        <v>0</v>
      </c>
      <c r="I650" t="n">
        <v>0</v>
      </c>
      <c r="J650" t="n">
        <v>0</v>
      </c>
      <c r="K650" t="n">
        <v>0</v>
      </c>
      <c r="L650" t="n">
        <v>0</v>
      </c>
      <c r="M650" t="n">
        <v>0</v>
      </c>
      <c r="N650" t="n">
        <v>0</v>
      </c>
      <c r="O650" t="n">
        <v>0</v>
      </c>
      <c r="P650" t="n">
        <v>0</v>
      </c>
      <c r="Q650" t="n">
        <v>0</v>
      </c>
      <c r="R650" s="2" t="inlineStr"/>
    </row>
    <row r="651">
      <c r="A651" t="inlineStr">
        <is>
          <t>A 15620-2025</t>
        </is>
      </c>
      <c r="B651" s="1" t="n">
        <v>45747</v>
      </c>
      <c r="C651" s="1" t="n">
        <v>45758</v>
      </c>
      <c r="D651" t="inlineStr">
        <is>
          <t>VÄSTERBOTTENS LÄN</t>
        </is>
      </c>
      <c r="E651" t="inlineStr">
        <is>
          <t>STORUMAN</t>
        </is>
      </c>
      <c r="G651" t="n">
        <v>15.2</v>
      </c>
      <c r="H651" t="n">
        <v>0</v>
      </c>
      <c r="I651" t="n">
        <v>0</v>
      </c>
      <c r="J651" t="n">
        <v>0</v>
      </c>
      <c r="K651" t="n">
        <v>0</v>
      </c>
      <c r="L651" t="n">
        <v>0</v>
      </c>
      <c r="M651" t="n">
        <v>0</v>
      </c>
      <c r="N651" t="n">
        <v>0</v>
      </c>
      <c r="O651" t="n">
        <v>0</v>
      </c>
      <c r="P651" t="n">
        <v>0</v>
      </c>
      <c r="Q651" t="n">
        <v>0</v>
      </c>
      <c r="R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2025-04-11T16:36:13Z</dcterms:created>
  <dcterms:modified xmlns:dcterms="http://purl.org/dc/terms/" xmlns:xsi="http://www.w3.org/2001/XMLSchema-instance" xsi:type="dcterms:W3CDTF">2025-04-11T16:36:13Z</dcterms:modified>
</cp:coreProperties>
</file>