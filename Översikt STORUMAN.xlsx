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45886</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45886</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45886</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45886</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45886</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45886</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45886</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45886</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45886</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45886</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45886</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45886</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45886</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45886</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45886</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45886</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12261-2023</t>
        </is>
      </c>
      <c r="B23" s="1" t="n">
        <v>44995</v>
      </c>
      <c r="C23" s="1" t="n">
        <v>45886</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34681-2021</t>
        </is>
      </c>
      <c r="B24" s="1" t="n">
        <v>44382</v>
      </c>
      <c r="C24" s="1" t="n">
        <v>45886</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43915-2020</t>
        </is>
      </c>
      <c r="B25" s="1" t="n">
        <v>44078</v>
      </c>
      <c r="C25" s="1" t="n">
        <v>45886</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45886</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45886</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45886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15343-2023</t>
        </is>
      </c>
      <c r="B31" s="1" t="n">
        <v>45016</v>
      </c>
      <c r="C31" s="1" t="n">
        <v>45886</v>
      </c>
      <c r="D31" t="inlineStr">
        <is>
          <t>VÄSTERBOTTENS LÄN</t>
        </is>
      </c>
      <c r="E31" t="inlineStr">
        <is>
          <t>STORUMAN</t>
        </is>
      </c>
      <c r="G31" t="n">
        <v>11.7</v>
      </c>
      <c r="H31" t="n">
        <v>4</v>
      </c>
      <c r="I31" t="n">
        <v>3</v>
      </c>
      <c r="J31" t="n">
        <v>6</v>
      </c>
      <c r="K31" t="n">
        <v>0</v>
      </c>
      <c r="L31" t="n">
        <v>0</v>
      </c>
      <c r="M31" t="n">
        <v>0</v>
      </c>
      <c r="N31" t="n">
        <v>0</v>
      </c>
      <c r="O31" t="n">
        <v>6</v>
      </c>
      <c r="P31" t="n">
        <v>0</v>
      </c>
      <c r="Q31" t="n">
        <v>11</v>
      </c>
      <c r="R31" s="2" t="inlineStr">
        <is>
          <t>Garnlav
Granticka
Harticka
Talltita
Tretåig hackspett
Vitgrynig nållav
Björksplintborre
Bronshjon
Svavelriska
Lavskrika
Revlummer</t>
        </is>
      </c>
      <c r="S31">
        <f>HYPERLINK("https://klasma.github.io/Logging_2421/artfynd/A 15343-2023 artfynd.xlsx", "A 15343-2023")</f>
        <v/>
      </c>
      <c r="T31">
        <f>HYPERLINK("https://klasma.github.io/Logging_2421/kartor/A 15343-2023 karta.png", "A 15343-2023")</f>
        <v/>
      </c>
      <c r="V31">
        <f>HYPERLINK("https://klasma.github.io/Logging_2421/klagomål/A 15343-2023 FSC-klagomål.docx", "A 15343-2023")</f>
        <v/>
      </c>
      <c r="W31">
        <f>HYPERLINK("https://klasma.github.io/Logging_2421/klagomålsmail/A 15343-2023 FSC-klagomål mail.docx", "A 15343-2023")</f>
        <v/>
      </c>
      <c r="X31">
        <f>HYPERLINK("https://klasma.github.io/Logging_2421/tillsyn/A 15343-2023 tillsynsbegäran.docx", "A 15343-2023")</f>
        <v/>
      </c>
      <c r="Y31">
        <f>HYPERLINK("https://klasma.github.io/Logging_2421/tillsynsmail/A 15343-2023 tillsynsbegäran mail.docx", "A 15343-2023")</f>
        <v/>
      </c>
      <c r="Z31">
        <f>HYPERLINK("https://klasma.github.io/Logging_2421/fåglar/A 15343-2023 prioriterade fågelarter.docx", "A 15343-2023")</f>
        <v/>
      </c>
    </row>
    <row r="32" ht="15" customHeight="1">
      <c r="A32" t="inlineStr">
        <is>
          <t>A 14810-2023</t>
        </is>
      </c>
      <c r="B32" s="1" t="n">
        <v>45013</v>
      </c>
      <c r="C32" s="1" t="n">
        <v>45886</v>
      </c>
      <c r="D32" t="inlineStr">
        <is>
          <t>VÄSTERBOTTENS LÄN</t>
        </is>
      </c>
      <c r="E32" t="inlineStr">
        <is>
          <t>STORUMAN</t>
        </is>
      </c>
      <c r="G32" t="n">
        <v>13.9</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43938-2020</t>
        </is>
      </c>
      <c r="B33" s="1" t="n">
        <v>44078</v>
      </c>
      <c r="C33" s="1" t="n">
        <v>45886</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10934-2021</t>
        </is>
      </c>
      <c r="B34" s="1" t="n">
        <v>44259</v>
      </c>
      <c r="C34" s="1" t="n">
        <v>45886</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45886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45886</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45886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45886</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12330-2023</t>
        </is>
      </c>
      <c r="B39" s="1" t="n">
        <v>44995</v>
      </c>
      <c r="C39" s="1" t="n">
        <v>45886</v>
      </c>
      <c r="D39" t="inlineStr">
        <is>
          <t>VÄSTERBOTTENS LÄN</t>
        </is>
      </c>
      <c r="E39" t="inlineStr">
        <is>
          <t>STORUMAN</t>
        </is>
      </c>
      <c r="F39" t="inlineStr">
        <is>
          <t>Allmännings- och besparingsskogar</t>
        </is>
      </c>
      <c r="G39" t="n">
        <v>248.7</v>
      </c>
      <c r="H39" t="n">
        <v>0</v>
      </c>
      <c r="I39" t="n">
        <v>1</v>
      </c>
      <c r="J39" t="n">
        <v>8</v>
      </c>
      <c r="K39" t="n">
        <v>0</v>
      </c>
      <c r="L39" t="n">
        <v>0</v>
      </c>
      <c r="M39" t="n">
        <v>0</v>
      </c>
      <c r="N39" t="n">
        <v>0</v>
      </c>
      <c r="O39" t="n">
        <v>8</v>
      </c>
      <c r="P39" t="n">
        <v>0</v>
      </c>
      <c r="Q39" t="n">
        <v>9</v>
      </c>
      <c r="R39" s="2" t="inlineStr">
        <is>
          <t>Gammelgransskål
Garnlav
Gränsticka
Lunglav
Rosenticka
Rödbrun blekspik
Skrovellav
Urnlav
Vedticka</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row>
    <row r="40" ht="15" customHeight="1">
      <c r="A40" t="inlineStr">
        <is>
          <t>A 6207-2021</t>
        </is>
      </c>
      <c r="B40" s="1" t="n">
        <v>44232</v>
      </c>
      <c r="C40" s="1" t="n">
        <v>45886</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72168-2021</t>
        </is>
      </c>
      <c r="B41" s="1" t="n">
        <v>44543</v>
      </c>
      <c r="C41" s="1" t="n">
        <v>45886</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45886</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45886</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45886</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45886</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45886</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45886</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45886</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45886</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45886</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45886</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45886</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45886</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45886</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45886</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45886</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45505</v>
      </c>
      <c r="C57" s="1" t="n">
        <v>45886</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60880-2023</t>
        </is>
      </c>
      <c r="B58" s="1" t="n">
        <v>45259</v>
      </c>
      <c r="C58" s="1" t="n">
        <v>45886</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45886</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40652-2021</t>
        </is>
      </c>
      <c r="B60" s="1" t="n">
        <v>44420</v>
      </c>
      <c r="C60" s="1" t="n">
        <v>45886</v>
      </c>
      <c r="D60" t="inlineStr">
        <is>
          <t>VÄSTERBOTTENS LÄN</t>
        </is>
      </c>
      <c r="E60" t="inlineStr">
        <is>
          <t>STORUMAN</t>
        </is>
      </c>
      <c r="G60" t="n">
        <v>10</v>
      </c>
      <c r="H60" t="n">
        <v>3</v>
      </c>
      <c r="I60" t="n">
        <v>0</v>
      </c>
      <c r="J60" t="n">
        <v>1</v>
      </c>
      <c r="K60" t="n">
        <v>1</v>
      </c>
      <c r="L60" t="n">
        <v>0</v>
      </c>
      <c r="M60" t="n">
        <v>0</v>
      </c>
      <c r="N60" t="n">
        <v>0</v>
      </c>
      <c r="O60" t="n">
        <v>2</v>
      </c>
      <c r="P60" t="n">
        <v>1</v>
      </c>
      <c r="Q60" t="n">
        <v>3</v>
      </c>
      <c r="R60" s="2" t="inlineStr">
        <is>
          <t>Knärot
Tretåig hackspett
Lavskrika</t>
        </is>
      </c>
      <c r="S60">
        <f>HYPERLINK("https://klasma.github.io/Logging_2421/artfynd/A 40652-2021 artfynd.xlsx", "A 40652-2021")</f>
        <v/>
      </c>
      <c r="T60">
        <f>HYPERLINK("https://klasma.github.io/Logging_2421/kartor/A 40652-2021 karta.png", "A 40652-2021")</f>
        <v/>
      </c>
      <c r="U60">
        <f>HYPERLINK("https://klasma.github.io/Logging_2421/knärot/A 40652-2021 karta knärot.png", "A 40652-2021")</f>
        <v/>
      </c>
      <c r="V60">
        <f>HYPERLINK("https://klasma.github.io/Logging_2421/klagomål/A 40652-2021 FSC-klagomål.docx", "A 40652-2021")</f>
        <v/>
      </c>
      <c r="W60">
        <f>HYPERLINK("https://klasma.github.io/Logging_2421/klagomålsmail/A 40652-2021 FSC-klagomål mail.docx", "A 40652-2021")</f>
        <v/>
      </c>
      <c r="X60">
        <f>HYPERLINK("https://klasma.github.io/Logging_2421/tillsyn/A 40652-2021 tillsynsbegäran.docx", "A 40652-2021")</f>
        <v/>
      </c>
      <c r="Y60">
        <f>HYPERLINK("https://klasma.github.io/Logging_2421/tillsynsmail/A 40652-2021 tillsynsbegäran mail.docx", "A 40652-2021")</f>
        <v/>
      </c>
      <c r="Z60">
        <f>HYPERLINK("https://klasma.github.io/Logging_2421/fåglar/A 40652-2021 prioriterade fågelarter.docx", "A 40652-2021")</f>
        <v/>
      </c>
    </row>
    <row r="61" ht="15" customHeight="1">
      <c r="A61" t="inlineStr">
        <is>
          <t>A 11190-2025</t>
        </is>
      </c>
      <c r="B61" s="1" t="n">
        <v>45725</v>
      </c>
      <c r="C61" s="1" t="n">
        <v>45886</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36894-2025</t>
        </is>
      </c>
      <c r="B62" s="1" t="n">
        <v>45874.4699537037</v>
      </c>
      <c r="C62" s="1" t="n">
        <v>45886</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45886</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4962-2025</t>
        </is>
      </c>
      <c r="B64" s="1" t="n">
        <v>45690.38700231481</v>
      </c>
      <c r="C64" s="1" t="n">
        <v>45886</v>
      </c>
      <c r="D64" t="inlineStr">
        <is>
          <t>VÄSTERBOTTENS LÄN</t>
        </is>
      </c>
      <c r="E64" t="inlineStr">
        <is>
          <t>STORUMAN</t>
        </is>
      </c>
      <c r="G64" t="n">
        <v>12.1</v>
      </c>
      <c r="H64" t="n">
        <v>1</v>
      </c>
      <c r="I64" t="n">
        <v>0</v>
      </c>
      <c r="J64" t="n">
        <v>3</v>
      </c>
      <c r="K64" t="n">
        <v>0</v>
      </c>
      <c r="L64" t="n">
        <v>0</v>
      </c>
      <c r="M64" t="n">
        <v>0</v>
      </c>
      <c r="N64" t="n">
        <v>0</v>
      </c>
      <c r="O64" t="n">
        <v>3</v>
      </c>
      <c r="P64" t="n">
        <v>0</v>
      </c>
      <c r="Q64" t="n">
        <v>3</v>
      </c>
      <c r="R64" s="2" t="inlineStr">
        <is>
          <t>Gammelgransskål
Harticka
Tretåig hackspett</t>
        </is>
      </c>
      <c r="S64">
        <f>HYPERLINK("https://klasma.github.io/Logging_2421/artfynd/A 4962-2025 artfynd.xlsx", "A 4962-2025")</f>
        <v/>
      </c>
      <c r="T64">
        <f>HYPERLINK("https://klasma.github.io/Logging_2421/kartor/A 4962-2025 karta.png", "A 4962-2025")</f>
        <v/>
      </c>
      <c r="V64">
        <f>HYPERLINK("https://klasma.github.io/Logging_2421/klagomål/A 4962-2025 FSC-klagomål.docx", "A 4962-2025")</f>
        <v/>
      </c>
      <c r="W64">
        <f>HYPERLINK("https://klasma.github.io/Logging_2421/klagomålsmail/A 4962-2025 FSC-klagomål mail.docx", "A 4962-2025")</f>
        <v/>
      </c>
      <c r="X64">
        <f>HYPERLINK("https://klasma.github.io/Logging_2421/tillsyn/A 4962-2025 tillsynsbegäran.docx", "A 4962-2025")</f>
        <v/>
      </c>
      <c r="Y64">
        <f>HYPERLINK("https://klasma.github.io/Logging_2421/tillsynsmail/A 4962-2025 tillsynsbegäran mail.docx", "A 4962-2025")</f>
        <v/>
      </c>
      <c r="Z64">
        <f>HYPERLINK("https://klasma.github.io/Logging_2421/fåglar/A 4962-2025 prioriterade fågelarter.docx", "A 4962-2025")</f>
        <v/>
      </c>
    </row>
    <row r="65" ht="15" customHeight="1">
      <c r="A65" t="inlineStr">
        <is>
          <t>A 29352-2021</t>
        </is>
      </c>
      <c r="B65" s="1" t="n">
        <v>44361.4578125</v>
      </c>
      <c r="C65" s="1" t="n">
        <v>45886</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45886</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23853-2025</t>
        </is>
      </c>
      <c r="B67" s="1" t="n">
        <v>45793.65607638889</v>
      </c>
      <c r="C67" s="1" t="n">
        <v>45886</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39237-2022</t>
        </is>
      </c>
      <c r="B68" s="1" t="n">
        <v>44817</v>
      </c>
      <c r="C68" s="1" t="n">
        <v>45886</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12321-2021</t>
        </is>
      </c>
      <c r="B69" s="1" t="n">
        <v>44266</v>
      </c>
      <c r="C69" s="1" t="n">
        <v>45886</v>
      </c>
      <c r="D69" t="inlineStr">
        <is>
          <t>VÄSTERBOTTENS LÄN</t>
        </is>
      </c>
      <c r="E69" t="inlineStr">
        <is>
          <t>STORUMAN</t>
        </is>
      </c>
      <c r="G69" t="n">
        <v>8</v>
      </c>
      <c r="H69" t="n">
        <v>0</v>
      </c>
      <c r="I69" t="n">
        <v>1</v>
      </c>
      <c r="J69" t="n">
        <v>1</v>
      </c>
      <c r="K69" t="n">
        <v>0</v>
      </c>
      <c r="L69" t="n">
        <v>0</v>
      </c>
      <c r="M69" t="n">
        <v>0</v>
      </c>
      <c r="N69" t="n">
        <v>0</v>
      </c>
      <c r="O69" t="n">
        <v>1</v>
      </c>
      <c r="P69" t="n">
        <v>0</v>
      </c>
      <c r="Q69" t="n">
        <v>2</v>
      </c>
      <c r="R69" s="2" t="inlineStr">
        <is>
          <t>Gammelgransskål
Svavelriska</t>
        </is>
      </c>
      <c r="S69">
        <f>HYPERLINK("https://klasma.github.io/Logging_2421/artfynd/A 12321-2021 artfynd.xlsx", "A 12321-2021")</f>
        <v/>
      </c>
      <c r="T69">
        <f>HYPERLINK("https://klasma.github.io/Logging_2421/kartor/A 12321-2021 karta.png", "A 12321-2021")</f>
        <v/>
      </c>
      <c r="V69">
        <f>HYPERLINK("https://klasma.github.io/Logging_2421/klagomål/A 12321-2021 FSC-klagomål.docx", "A 12321-2021")</f>
        <v/>
      </c>
      <c r="W69">
        <f>HYPERLINK("https://klasma.github.io/Logging_2421/klagomålsmail/A 12321-2021 FSC-klagomål mail.docx", "A 12321-2021")</f>
        <v/>
      </c>
      <c r="X69">
        <f>HYPERLINK("https://klasma.github.io/Logging_2421/tillsyn/A 12321-2021 tillsynsbegäran.docx", "A 12321-2021")</f>
        <v/>
      </c>
      <c r="Y69">
        <f>HYPERLINK("https://klasma.github.io/Logging_2421/tillsynsmail/A 12321-2021 tillsynsbegäran mail.docx", "A 12321-2021")</f>
        <v/>
      </c>
    </row>
    <row r="70" ht="15" customHeight="1">
      <c r="A70" t="inlineStr">
        <is>
          <t>A 40939-2021</t>
        </is>
      </c>
      <c r="B70" s="1" t="n">
        <v>44421</v>
      </c>
      <c r="C70" s="1" t="n">
        <v>45886</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14070-2022</t>
        </is>
      </c>
      <c r="B71" s="1" t="n">
        <v>44650</v>
      </c>
      <c r="C71" s="1" t="n">
        <v>45886</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45886</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45886</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42843-2021</t>
        </is>
      </c>
      <c r="B74" s="1" t="n">
        <v>44430</v>
      </c>
      <c r="C74" s="1" t="n">
        <v>45886</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20192-2022</t>
        </is>
      </c>
      <c r="B75" s="1" t="n">
        <v>44698.55512731482</v>
      </c>
      <c r="C75" s="1" t="n">
        <v>45886</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16833-2024</t>
        </is>
      </c>
      <c r="B76" s="1" t="n">
        <v>45411</v>
      </c>
      <c r="C76" s="1" t="n">
        <v>45886</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45886</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23458-2024</t>
        </is>
      </c>
      <c r="B78" s="1" t="n">
        <v>45453.64537037037</v>
      </c>
      <c r="C78" s="1" t="n">
        <v>45886</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33852-2024</t>
        </is>
      </c>
      <c r="B79" s="1" t="n">
        <v>45520.63962962963</v>
      </c>
      <c r="C79" s="1" t="n">
        <v>45886</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40662-2020</t>
        </is>
      </c>
      <c r="B80" s="1" t="n">
        <v>44069</v>
      </c>
      <c r="C80" s="1" t="n">
        <v>45886</v>
      </c>
      <c r="D80" t="inlineStr">
        <is>
          <t>VÄSTERBOTTENS LÄN</t>
        </is>
      </c>
      <c r="E80" t="inlineStr">
        <is>
          <t>STORUMAN</t>
        </is>
      </c>
      <c r="G80" t="n">
        <v>1.7</v>
      </c>
      <c r="H80" t="n">
        <v>1</v>
      </c>
      <c r="I80" t="n">
        <v>0</v>
      </c>
      <c r="J80" t="n">
        <v>0</v>
      </c>
      <c r="K80" t="n">
        <v>0</v>
      </c>
      <c r="L80" t="n">
        <v>0</v>
      </c>
      <c r="M80" t="n">
        <v>0</v>
      </c>
      <c r="N80" t="n">
        <v>0</v>
      </c>
      <c r="O80" t="n">
        <v>0</v>
      </c>
      <c r="P80" t="n">
        <v>0</v>
      </c>
      <c r="Q80" t="n">
        <v>1</v>
      </c>
      <c r="R80" s="2" t="inlineStr">
        <is>
          <t>Lavskrika</t>
        </is>
      </c>
      <c r="S80">
        <f>HYPERLINK("https://klasma.github.io/Logging_2421/artfynd/A 40662-2020 artfynd.xlsx", "A 40662-2020")</f>
        <v/>
      </c>
      <c r="T80">
        <f>HYPERLINK("https://klasma.github.io/Logging_2421/kartor/A 40662-2020 karta.png", "A 40662-2020")</f>
        <v/>
      </c>
      <c r="V80">
        <f>HYPERLINK("https://klasma.github.io/Logging_2421/klagomål/A 40662-2020 FSC-klagomål.docx", "A 40662-2020")</f>
        <v/>
      </c>
      <c r="W80">
        <f>HYPERLINK("https://klasma.github.io/Logging_2421/klagomålsmail/A 40662-2020 FSC-klagomål mail.docx", "A 40662-2020")</f>
        <v/>
      </c>
      <c r="X80">
        <f>HYPERLINK("https://klasma.github.io/Logging_2421/tillsyn/A 40662-2020 tillsynsbegäran.docx", "A 40662-2020")</f>
        <v/>
      </c>
      <c r="Y80">
        <f>HYPERLINK("https://klasma.github.io/Logging_2421/tillsynsmail/A 40662-2020 tillsynsbegäran mail.docx", "A 40662-2020")</f>
        <v/>
      </c>
      <c r="Z80">
        <f>HYPERLINK("https://klasma.github.io/Logging_2421/fåglar/A 40662-2020 prioriterade fågelarter.docx", "A 40662-2020")</f>
        <v/>
      </c>
    </row>
    <row r="81" ht="15" customHeight="1">
      <c r="A81" t="inlineStr">
        <is>
          <t>A 47313-2023</t>
        </is>
      </c>
      <c r="B81" s="1" t="n">
        <v>45196</v>
      </c>
      <c r="C81" s="1" t="n">
        <v>45886</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21663-2024</t>
        </is>
      </c>
      <c r="B82" s="1" t="n">
        <v>45442</v>
      </c>
      <c r="C82" s="1" t="n">
        <v>45886</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41848-2024</t>
        </is>
      </c>
      <c r="B83" s="1" t="n">
        <v>45561.43266203703</v>
      </c>
      <c r="C83" s="1" t="n">
        <v>45886</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45886</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29572-2023</t>
        </is>
      </c>
      <c r="B85" s="1" t="n">
        <v>45106</v>
      </c>
      <c r="C85" s="1" t="n">
        <v>45886</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35641-2025</t>
        </is>
      </c>
      <c r="B86" s="1" t="n">
        <v>45859.47814814815</v>
      </c>
      <c r="C86" s="1" t="n">
        <v>45886</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59058-2023</t>
        </is>
      </c>
      <c r="B87" s="1" t="n">
        <v>45252.8006712963</v>
      </c>
      <c r="C87" s="1" t="n">
        <v>45886</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33882-2025</t>
        </is>
      </c>
      <c r="B88" s="1" t="n">
        <v>45842.56947916667</v>
      </c>
      <c r="C88" s="1" t="n">
        <v>45886</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6210-2021</t>
        </is>
      </c>
      <c r="B89" s="1" t="n">
        <v>44232</v>
      </c>
      <c r="C89" s="1" t="n">
        <v>45886</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45886</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45886</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25111-2023</t>
        </is>
      </c>
      <c r="B92" s="1" t="n">
        <v>45078</v>
      </c>
      <c r="C92" s="1" t="n">
        <v>45886</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519-2025</t>
        </is>
      </c>
      <c r="B93" s="1" t="n">
        <v>45660</v>
      </c>
      <c r="C93" s="1" t="n">
        <v>45886</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45886</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45886</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45886</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45886</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45886</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45886</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45886</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45886</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45886</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45886</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45886</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45886</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45886</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45886</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45886</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45886</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20194-2022</t>
        </is>
      </c>
      <c r="B110" s="1" t="n">
        <v>44698.55778935185</v>
      </c>
      <c r="C110" s="1" t="n">
        <v>45886</v>
      </c>
      <c r="D110" t="inlineStr">
        <is>
          <t>VÄSTERBOTTENS LÄN</t>
        </is>
      </c>
      <c r="E110" t="inlineStr">
        <is>
          <t>STORUMAN</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45886</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23188-2022</t>
        </is>
      </c>
      <c r="B112" s="1" t="n">
        <v>44719.92506944444</v>
      </c>
      <c r="C112" s="1" t="n">
        <v>45886</v>
      </c>
      <c r="D112" t="inlineStr">
        <is>
          <t>VÄSTERBOTTENS LÄN</t>
        </is>
      </c>
      <c r="E112" t="inlineStr">
        <is>
          <t>STORUMAN</t>
        </is>
      </c>
      <c r="F112" t="inlineStr">
        <is>
          <t>Sveaskog</t>
        </is>
      </c>
      <c r="G112" t="n">
        <v>12.7</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45886</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45886</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45886</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45886</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45886</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45886</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45886</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45886</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45886</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45886</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45886</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45886</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45886</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39131-2020</t>
        </is>
      </c>
      <c r="B126" s="1" t="n">
        <v>44063</v>
      </c>
      <c r="C126" s="1" t="n">
        <v>45886</v>
      </c>
      <c r="D126" t="inlineStr">
        <is>
          <t>VÄSTERBOTTENS LÄN</t>
        </is>
      </c>
      <c r="E126" t="inlineStr">
        <is>
          <t>STORUMAN</t>
        </is>
      </c>
      <c r="F126" t="inlineStr">
        <is>
          <t>Sveaskog</t>
        </is>
      </c>
      <c r="G126" t="n">
        <v>36.1</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45886</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45886</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45886</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45886</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45886</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45886</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45886</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45886</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45886</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6869-2021</t>
        </is>
      </c>
      <c r="B136" s="1" t="n">
        <v>44237</v>
      </c>
      <c r="C136" s="1" t="n">
        <v>45886</v>
      </c>
      <c r="D136" t="inlineStr">
        <is>
          <t>VÄSTERBOTTENS LÄN</t>
        </is>
      </c>
      <c r="E136" t="inlineStr">
        <is>
          <t>STORUMAN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45886</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46844-2022</t>
        </is>
      </c>
      <c r="B138" s="1" t="n">
        <v>44851</v>
      </c>
      <c r="C138" s="1" t="n">
        <v>45886</v>
      </c>
      <c r="D138" t="inlineStr">
        <is>
          <t>VÄSTERBOTTENS LÄN</t>
        </is>
      </c>
      <c r="E138" t="inlineStr">
        <is>
          <t>STORUMAN</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49084-2022</t>
        </is>
      </c>
      <c r="B139" s="1" t="n">
        <v>44860</v>
      </c>
      <c r="C139" s="1" t="n">
        <v>45886</v>
      </c>
      <c r="D139" t="inlineStr">
        <is>
          <t>VÄSTERBOTTENS LÄN</t>
        </is>
      </c>
      <c r="E139" t="inlineStr">
        <is>
          <t>STORUMAN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4218-2022</t>
        </is>
      </c>
      <c r="B140" s="1" t="n">
        <v>44588</v>
      </c>
      <c r="C140" s="1" t="n">
        <v>45886</v>
      </c>
      <c r="D140" t="inlineStr">
        <is>
          <t>VÄSTERBOTTENS LÄN</t>
        </is>
      </c>
      <c r="E140" t="inlineStr">
        <is>
          <t>STORUMAN</t>
        </is>
      </c>
      <c r="G140" t="n">
        <v>18.6</v>
      </c>
      <c r="H140" t="n">
        <v>0</v>
      </c>
      <c r="I140" t="n">
        <v>0</v>
      </c>
      <c r="J140" t="n">
        <v>0</v>
      </c>
      <c r="K140" t="n">
        <v>0</v>
      </c>
      <c r="L140" t="n">
        <v>0</v>
      </c>
      <c r="M140" t="n">
        <v>0</v>
      </c>
      <c r="N140" t="n">
        <v>0</v>
      </c>
      <c r="O140" t="n">
        <v>0</v>
      </c>
      <c r="P140" t="n">
        <v>0</v>
      </c>
      <c r="Q140" t="n">
        <v>0</v>
      </c>
      <c r="R140" s="2" t="inlineStr"/>
    </row>
    <row r="141" ht="15" customHeight="1">
      <c r="A141" t="inlineStr">
        <is>
          <t>A 54807-2021</t>
        </is>
      </c>
      <c r="B141" s="1" t="n">
        <v>44473.94260416667</v>
      </c>
      <c r="C141" s="1" t="n">
        <v>45886</v>
      </c>
      <c r="D141" t="inlineStr">
        <is>
          <t>VÄSTERBOTTENS LÄN</t>
        </is>
      </c>
      <c r="E141" t="inlineStr">
        <is>
          <t>STORUMAN</t>
        </is>
      </c>
      <c r="F141" t="inlineStr">
        <is>
          <t>SCA</t>
        </is>
      </c>
      <c r="G141" t="n">
        <v>0.6</v>
      </c>
      <c r="H141" t="n">
        <v>0</v>
      </c>
      <c r="I141" t="n">
        <v>0</v>
      </c>
      <c r="J141" t="n">
        <v>0</v>
      </c>
      <c r="K141" t="n">
        <v>0</v>
      </c>
      <c r="L141" t="n">
        <v>0</v>
      </c>
      <c r="M141" t="n">
        <v>0</v>
      </c>
      <c r="N141" t="n">
        <v>0</v>
      </c>
      <c r="O141" t="n">
        <v>0</v>
      </c>
      <c r="P141" t="n">
        <v>0</v>
      </c>
      <c r="Q141" t="n">
        <v>0</v>
      </c>
      <c r="R141" s="2" t="inlineStr"/>
    </row>
    <row r="142" ht="15" customHeight="1">
      <c r="A142" t="inlineStr">
        <is>
          <t>A 32459-2022</t>
        </is>
      </c>
      <c r="B142" s="1" t="n">
        <v>44782</v>
      </c>
      <c r="C142" s="1" t="n">
        <v>45886</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2788-2022</t>
        </is>
      </c>
      <c r="B143" s="1" t="n">
        <v>44580</v>
      </c>
      <c r="C143" s="1" t="n">
        <v>45886</v>
      </c>
      <c r="D143" t="inlineStr">
        <is>
          <t>VÄSTERBOTTENS LÄN</t>
        </is>
      </c>
      <c r="E143" t="inlineStr">
        <is>
          <t>STORUMAN</t>
        </is>
      </c>
      <c r="G143" t="n">
        <v>22</v>
      </c>
      <c r="H143" t="n">
        <v>0</v>
      </c>
      <c r="I143" t="n">
        <v>0</v>
      </c>
      <c r="J143" t="n">
        <v>0</v>
      </c>
      <c r="K143" t="n">
        <v>0</v>
      </c>
      <c r="L143" t="n">
        <v>0</v>
      </c>
      <c r="M143" t="n">
        <v>0</v>
      </c>
      <c r="N143" t="n">
        <v>0</v>
      </c>
      <c r="O143" t="n">
        <v>0</v>
      </c>
      <c r="P143" t="n">
        <v>0</v>
      </c>
      <c r="Q143" t="n">
        <v>0</v>
      </c>
      <c r="R143" s="2" t="inlineStr"/>
    </row>
    <row r="144" ht="15" customHeight="1">
      <c r="A144" t="inlineStr">
        <is>
          <t>A 3354-2022</t>
        </is>
      </c>
      <c r="B144" s="1" t="n">
        <v>44585</v>
      </c>
      <c r="C144" s="1" t="n">
        <v>45886</v>
      </c>
      <c r="D144" t="inlineStr">
        <is>
          <t>VÄSTERBOTTENS LÄN</t>
        </is>
      </c>
      <c r="E144" t="inlineStr">
        <is>
          <t>STORUMAN</t>
        </is>
      </c>
      <c r="G144" t="n">
        <v>2.8</v>
      </c>
      <c r="H144" t="n">
        <v>0</v>
      </c>
      <c r="I144" t="n">
        <v>0</v>
      </c>
      <c r="J144" t="n">
        <v>0</v>
      </c>
      <c r="K144" t="n">
        <v>0</v>
      </c>
      <c r="L144" t="n">
        <v>0</v>
      </c>
      <c r="M144" t="n">
        <v>0</v>
      </c>
      <c r="N144" t="n">
        <v>0</v>
      </c>
      <c r="O144" t="n">
        <v>0</v>
      </c>
      <c r="P144" t="n">
        <v>0</v>
      </c>
      <c r="Q144" t="n">
        <v>0</v>
      </c>
      <c r="R144" s="2" t="inlineStr"/>
    </row>
    <row r="145" ht="15" customHeight="1">
      <c r="A145" t="inlineStr">
        <is>
          <t>A 61431-2021</t>
        </is>
      </c>
      <c r="B145" s="1" t="n">
        <v>44500</v>
      </c>
      <c r="C145" s="1" t="n">
        <v>45886</v>
      </c>
      <c r="D145" t="inlineStr">
        <is>
          <t>VÄSTERBOTTENS LÄN</t>
        </is>
      </c>
      <c r="E145" t="inlineStr">
        <is>
          <t>STORUMAN</t>
        </is>
      </c>
      <c r="F145" t="inlineStr">
        <is>
          <t>SCA</t>
        </is>
      </c>
      <c r="G145" t="n">
        <v>0.2</v>
      </c>
      <c r="H145" t="n">
        <v>0</v>
      </c>
      <c r="I145" t="n">
        <v>0</v>
      </c>
      <c r="J145" t="n">
        <v>0</v>
      </c>
      <c r="K145" t="n">
        <v>0</v>
      </c>
      <c r="L145" t="n">
        <v>0</v>
      </c>
      <c r="M145" t="n">
        <v>0</v>
      </c>
      <c r="N145" t="n">
        <v>0</v>
      </c>
      <c r="O145" t="n">
        <v>0</v>
      </c>
      <c r="P145" t="n">
        <v>0</v>
      </c>
      <c r="Q145" t="n">
        <v>0</v>
      </c>
      <c r="R145" s="2" t="inlineStr"/>
    </row>
    <row r="146" ht="15" customHeight="1">
      <c r="A146" t="inlineStr">
        <is>
          <t>A 54796-2021</t>
        </is>
      </c>
      <c r="B146" s="1" t="n">
        <v>44473.94251157407</v>
      </c>
      <c r="C146" s="1" t="n">
        <v>45886</v>
      </c>
      <c r="D146" t="inlineStr">
        <is>
          <t>VÄSTERBOTTENS LÄN</t>
        </is>
      </c>
      <c r="E146" t="inlineStr">
        <is>
          <t>STORUMAN</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10500-2021</t>
        </is>
      </c>
      <c r="B147" s="1" t="n">
        <v>44257</v>
      </c>
      <c r="C147" s="1" t="n">
        <v>45886</v>
      </c>
      <c r="D147" t="inlineStr">
        <is>
          <t>VÄSTERBOTTENS LÄN</t>
        </is>
      </c>
      <c r="E147" t="inlineStr">
        <is>
          <t>STORUMAN</t>
        </is>
      </c>
      <c r="G147" t="n">
        <v>1.4</v>
      </c>
      <c r="H147" t="n">
        <v>0</v>
      </c>
      <c r="I147" t="n">
        <v>0</v>
      </c>
      <c r="J147" t="n">
        <v>0</v>
      </c>
      <c r="K147" t="n">
        <v>0</v>
      </c>
      <c r="L147" t="n">
        <v>0</v>
      </c>
      <c r="M147" t="n">
        <v>0</v>
      </c>
      <c r="N147" t="n">
        <v>0</v>
      </c>
      <c r="O147" t="n">
        <v>0</v>
      </c>
      <c r="P147" t="n">
        <v>0</v>
      </c>
      <c r="Q147" t="n">
        <v>0</v>
      </c>
      <c r="R147" s="2" t="inlineStr"/>
    </row>
    <row r="148" ht="15" customHeight="1">
      <c r="A148" t="inlineStr">
        <is>
          <t>A 55156-2022</t>
        </is>
      </c>
      <c r="B148" s="1" t="n">
        <v>44886.6896412037</v>
      </c>
      <c r="C148" s="1" t="n">
        <v>45886</v>
      </c>
      <c r="D148" t="inlineStr">
        <is>
          <t>VÄSTERBOTTENS LÄN</t>
        </is>
      </c>
      <c r="E148" t="inlineStr">
        <is>
          <t>STORUMAN</t>
        </is>
      </c>
      <c r="G148" t="n">
        <v>3.5</v>
      </c>
      <c r="H148" t="n">
        <v>0</v>
      </c>
      <c r="I148" t="n">
        <v>0</v>
      </c>
      <c r="J148" t="n">
        <v>0</v>
      </c>
      <c r="K148" t="n">
        <v>0</v>
      </c>
      <c r="L148" t="n">
        <v>0</v>
      </c>
      <c r="M148" t="n">
        <v>0</v>
      </c>
      <c r="N148" t="n">
        <v>0</v>
      </c>
      <c r="O148" t="n">
        <v>0</v>
      </c>
      <c r="P148" t="n">
        <v>0</v>
      </c>
      <c r="Q148" t="n">
        <v>0</v>
      </c>
      <c r="R148" s="2" t="inlineStr"/>
    </row>
    <row r="149" ht="15" customHeight="1">
      <c r="A149" t="inlineStr">
        <is>
          <t>A 10481-2021</t>
        </is>
      </c>
      <c r="B149" s="1" t="n">
        <v>44257</v>
      </c>
      <c r="C149" s="1" t="n">
        <v>45886</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45886</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28001-2022</t>
        </is>
      </c>
      <c r="B151" s="1" t="n">
        <v>44743</v>
      </c>
      <c r="C151" s="1" t="n">
        <v>45886</v>
      </c>
      <c r="D151" t="inlineStr">
        <is>
          <t>VÄSTERBOTTENS LÄN</t>
        </is>
      </c>
      <c r="E151" t="inlineStr">
        <is>
          <t>STORUMAN</t>
        </is>
      </c>
      <c r="G151" t="n">
        <v>2.3</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45886</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18846-2023</t>
        </is>
      </c>
      <c r="B153" s="1" t="n">
        <v>45042</v>
      </c>
      <c r="C153" s="1" t="n">
        <v>45886</v>
      </c>
      <c r="D153" t="inlineStr">
        <is>
          <t>VÄSTERBOTTENS LÄN</t>
        </is>
      </c>
      <c r="E153" t="inlineStr">
        <is>
          <t>STORUMAN</t>
        </is>
      </c>
      <c r="G153" t="n">
        <v>17.7</v>
      </c>
      <c r="H153" t="n">
        <v>0</v>
      </c>
      <c r="I153" t="n">
        <v>0</v>
      </c>
      <c r="J153" t="n">
        <v>0</v>
      </c>
      <c r="K153" t="n">
        <v>0</v>
      </c>
      <c r="L153" t="n">
        <v>0</v>
      </c>
      <c r="M153" t="n">
        <v>0</v>
      </c>
      <c r="N153" t="n">
        <v>0</v>
      </c>
      <c r="O153" t="n">
        <v>0</v>
      </c>
      <c r="P153" t="n">
        <v>0</v>
      </c>
      <c r="Q153" t="n">
        <v>0</v>
      </c>
      <c r="R153" s="2" t="inlineStr"/>
    </row>
    <row r="154" ht="15" customHeight="1">
      <c r="A154" t="inlineStr">
        <is>
          <t>A 14389-2021</t>
        </is>
      </c>
      <c r="B154" s="1" t="n">
        <v>44279</v>
      </c>
      <c r="C154" s="1" t="n">
        <v>45886</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45886</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17149-2022</t>
        </is>
      </c>
      <c r="B156" s="1" t="n">
        <v>44677</v>
      </c>
      <c r="C156" s="1" t="n">
        <v>45886</v>
      </c>
      <c r="D156" t="inlineStr">
        <is>
          <t>VÄSTERBOTTENS LÄN</t>
        </is>
      </c>
      <c r="E156" t="inlineStr">
        <is>
          <t>STORUMAN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51334-2023</t>
        </is>
      </c>
      <c r="B157" s="1" t="n">
        <v>45219</v>
      </c>
      <c r="C157" s="1" t="n">
        <v>45886</v>
      </c>
      <c r="D157" t="inlineStr">
        <is>
          <t>VÄSTERBOTTENS LÄN</t>
        </is>
      </c>
      <c r="E157" t="inlineStr">
        <is>
          <t>STORUMAN</t>
        </is>
      </c>
      <c r="G157" t="n">
        <v>0.3</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45886</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21412-2024</t>
        </is>
      </c>
      <c r="B159" s="1" t="n">
        <v>45441</v>
      </c>
      <c r="C159" s="1" t="n">
        <v>45886</v>
      </c>
      <c r="D159" t="inlineStr">
        <is>
          <t>VÄSTERBOTTENS LÄN</t>
        </is>
      </c>
      <c r="E159" t="inlineStr">
        <is>
          <t>STORUMAN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45886</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45886</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7710-2023</t>
        </is>
      </c>
      <c r="B162" s="1" t="n">
        <v>44972</v>
      </c>
      <c r="C162" s="1" t="n">
        <v>45886</v>
      </c>
      <c r="D162" t="inlineStr">
        <is>
          <t>VÄSTERBOTTENS LÄN</t>
        </is>
      </c>
      <c r="E162" t="inlineStr">
        <is>
          <t>STORUMAN</t>
        </is>
      </c>
      <c r="G162" t="n">
        <v>30.5</v>
      </c>
      <c r="H162" t="n">
        <v>0</v>
      </c>
      <c r="I162" t="n">
        <v>0</v>
      </c>
      <c r="J162" t="n">
        <v>0</v>
      </c>
      <c r="K162" t="n">
        <v>0</v>
      </c>
      <c r="L162" t="n">
        <v>0</v>
      </c>
      <c r="M162" t="n">
        <v>0</v>
      </c>
      <c r="N162" t="n">
        <v>0</v>
      </c>
      <c r="O162" t="n">
        <v>0</v>
      </c>
      <c r="P162" t="n">
        <v>0</v>
      </c>
      <c r="Q162" t="n">
        <v>0</v>
      </c>
      <c r="R162" s="2" t="inlineStr"/>
    </row>
    <row r="163" ht="15" customHeight="1">
      <c r="A163" t="inlineStr">
        <is>
          <t>A 33341-2021</t>
        </is>
      </c>
      <c r="B163" s="1" t="n">
        <v>44377</v>
      </c>
      <c r="C163" s="1" t="n">
        <v>45886</v>
      </c>
      <c r="D163" t="inlineStr">
        <is>
          <t>VÄSTERBOTTENS LÄN</t>
        </is>
      </c>
      <c r="E163" t="inlineStr">
        <is>
          <t>STORUMAN</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45886</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17220-2021</t>
        </is>
      </c>
      <c r="B165" s="1" t="n">
        <v>44298</v>
      </c>
      <c r="C165" s="1" t="n">
        <v>45886</v>
      </c>
      <c r="D165" t="inlineStr">
        <is>
          <t>VÄSTERBOTTENS LÄN</t>
        </is>
      </c>
      <c r="E165" t="inlineStr">
        <is>
          <t>STORUMAN</t>
        </is>
      </c>
      <c r="G165" t="n">
        <v>29.4</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45886</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21662-2025</t>
        </is>
      </c>
      <c r="B167" s="1" t="n">
        <v>45783</v>
      </c>
      <c r="C167" s="1" t="n">
        <v>45886</v>
      </c>
      <c r="D167" t="inlineStr">
        <is>
          <t>VÄSTERBOTTENS LÄN</t>
        </is>
      </c>
      <c r="E167" t="inlineStr">
        <is>
          <t>STORUMAN</t>
        </is>
      </c>
      <c r="G167" t="n">
        <v>47.2</v>
      </c>
      <c r="H167" t="n">
        <v>0</v>
      </c>
      <c r="I167" t="n">
        <v>0</v>
      </c>
      <c r="J167" t="n">
        <v>0</v>
      </c>
      <c r="K167" t="n">
        <v>0</v>
      </c>
      <c r="L167" t="n">
        <v>0</v>
      </c>
      <c r="M167" t="n">
        <v>0</v>
      </c>
      <c r="N167" t="n">
        <v>0</v>
      </c>
      <c r="O167" t="n">
        <v>0</v>
      </c>
      <c r="P167" t="n">
        <v>0</v>
      </c>
      <c r="Q167" t="n">
        <v>0</v>
      </c>
      <c r="R167" s="2" t="inlineStr"/>
    </row>
    <row r="168" ht="15" customHeight="1">
      <c r="A168" t="inlineStr">
        <is>
          <t>A 33737-2024</t>
        </is>
      </c>
      <c r="B168" s="1" t="n">
        <v>45520.55659722222</v>
      </c>
      <c r="C168" s="1" t="n">
        <v>45886</v>
      </c>
      <c r="D168" t="inlineStr">
        <is>
          <t>VÄSTERBOTTENS LÄN</t>
        </is>
      </c>
      <c r="E168" t="inlineStr">
        <is>
          <t>STORUMAN</t>
        </is>
      </c>
      <c r="F168" t="inlineStr">
        <is>
          <t>Sveaskog</t>
        </is>
      </c>
      <c r="G168" t="n">
        <v>6.7</v>
      </c>
      <c r="H168" t="n">
        <v>0</v>
      </c>
      <c r="I168" t="n">
        <v>0</v>
      </c>
      <c r="J168" t="n">
        <v>0</v>
      </c>
      <c r="K168" t="n">
        <v>0</v>
      </c>
      <c r="L168" t="n">
        <v>0</v>
      </c>
      <c r="M168" t="n">
        <v>0</v>
      </c>
      <c r="N168" t="n">
        <v>0</v>
      </c>
      <c r="O168" t="n">
        <v>0</v>
      </c>
      <c r="P168" t="n">
        <v>0</v>
      </c>
      <c r="Q168" t="n">
        <v>0</v>
      </c>
      <c r="R168" s="2" t="inlineStr"/>
    </row>
    <row r="169" ht="15" customHeight="1">
      <c r="A169" t="inlineStr">
        <is>
          <t>A 33836-2024</t>
        </is>
      </c>
      <c r="B169" s="1" t="n">
        <v>45520.62395833333</v>
      </c>
      <c r="C169" s="1" t="n">
        <v>45886</v>
      </c>
      <c r="D169" t="inlineStr">
        <is>
          <t>VÄSTERBOTTENS LÄN</t>
        </is>
      </c>
      <c r="E169" t="inlineStr">
        <is>
          <t>STORUMAN</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12550-2023</t>
        </is>
      </c>
      <c r="B170" s="1" t="n">
        <v>44998</v>
      </c>
      <c r="C170" s="1" t="n">
        <v>45886</v>
      </c>
      <c r="D170" t="inlineStr">
        <is>
          <t>VÄSTERBOTTENS LÄN</t>
        </is>
      </c>
      <c r="E170" t="inlineStr">
        <is>
          <t>STORUMAN</t>
        </is>
      </c>
      <c r="F170" t="inlineStr">
        <is>
          <t>Övriga statliga verk och myndigheter</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12556-2023</t>
        </is>
      </c>
      <c r="B171" s="1" t="n">
        <v>44998</v>
      </c>
      <c r="C171" s="1" t="n">
        <v>45886</v>
      </c>
      <c r="D171" t="inlineStr">
        <is>
          <t>VÄSTERBOTTENS LÄN</t>
        </is>
      </c>
      <c r="E171" t="inlineStr">
        <is>
          <t>STORUMAN</t>
        </is>
      </c>
      <c r="F171" t="inlineStr">
        <is>
          <t>Övriga statliga verk och myndigheter</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12561-2023</t>
        </is>
      </c>
      <c r="B172" s="1" t="n">
        <v>44998</v>
      </c>
      <c r="C172" s="1" t="n">
        <v>45886</v>
      </c>
      <c r="D172" t="inlineStr">
        <is>
          <t>VÄSTERBOTTENS LÄN</t>
        </is>
      </c>
      <c r="E172" t="inlineStr">
        <is>
          <t>STORUMAN</t>
        </is>
      </c>
      <c r="F172" t="inlineStr">
        <is>
          <t>Övriga statliga verk och myndigheter</t>
        </is>
      </c>
      <c r="G172" t="n">
        <v>6.9</v>
      </c>
      <c r="H172" t="n">
        <v>0</v>
      </c>
      <c r="I172" t="n">
        <v>0</v>
      </c>
      <c r="J172" t="n">
        <v>0</v>
      </c>
      <c r="K172" t="n">
        <v>0</v>
      </c>
      <c r="L172" t="n">
        <v>0</v>
      </c>
      <c r="M172" t="n">
        <v>0</v>
      </c>
      <c r="N172" t="n">
        <v>0</v>
      </c>
      <c r="O172" t="n">
        <v>0</v>
      </c>
      <c r="P172" t="n">
        <v>0</v>
      </c>
      <c r="Q172" t="n">
        <v>0</v>
      </c>
      <c r="R172" s="2" t="inlineStr"/>
    </row>
    <row r="173" ht="15" customHeight="1">
      <c r="A173" t="inlineStr">
        <is>
          <t>A 5908-2024</t>
        </is>
      </c>
      <c r="B173" s="1" t="n">
        <v>45335</v>
      </c>
      <c r="C173" s="1" t="n">
        <v>45886</v>
      </c>
      <c r="D173" t="inlineStr">
        <is>
          <t>VÄSTERBOTTENS LÄN</t>
        </is>
      </c>
      <c r="E173" t="inlineStr">
        <is>
          <t>STORUMAN</t>
        </is>
      </c>
      <c r="G173" t="n">
        <v>0.6</v>
      </c>
      <c r="H173" t="n">
        <v>0</v>
      </c>
      <c r="I173" t="n">
        <v>0</v>
      </c>
      <c r="J173" t="n">
        <v>0</v>
      </c>
      <c r="K173" t="n">
        <v>0</v>
      </c>
      <c r="L173" t="n">
        <v>0</v>
      </c>
      <c r="M173" t="n">
        <v>0</v>
      </c>
      <c r="N173" t="n">
        <v>0</v>
      </c>
      <c r="O173" t="n">
        <v>0</v>
      </c>
      <c r="P173" t="n">
        <v>0</v>
      </c>
      <c r="Q173" t="n">
        <v>0</v>
      </c>
      <c r="R173" s="2" t="inlineStr"/>
    </row>
    <row r="174" ht="15" customHeight="1">
      <c r="A174" t="inlineStr">
        <is>
          <t>A 71850-2021</t>
        </is>
      </c>
      <c r="B174" s="1" t="n">
        <v>44543.64056712963</v>
      </c>
      <c r="C174" s="1" t="n">
        <v>45886</v>
      </c>
      <c r="D174" t="inlineStr">
        <is>
          <t>VÄSTERBOTTENS LÄN</t>
        </is>
      </c>
      <c r="E174" t="inlineStr">
        <is>
          <t>STORUMAN</t>
        </is>
      </c>
      <c r="F174" t="inlineStr">
        <is>
          <t>Holmen skog AB</t>
        </is>
      </c>
      <c r="G174" t="n">
        <v>2.2</v>
      </c>
      <c r="H174" t="n">
        <v>0</v>
      </c>
      <c r="I174" t="n">
        <v>0</v>
      </c>
      <c r="J174" t="n">
        <v>0</v>
      </c>
      <c r="K174" t="n">
        <v>0</v>
      </c>
      <c r="L174" t="n">
        <v>0</v>
      </c>
      <c r="M174" t="n">
        <v>0</v>
      </c>
      <c r="N174" t="n">
        <v>0</v>
      </c>
      <c r="O174" t="n">
        <v>0</v>
      </c>
      <c r="P174" t="n">
        <v>0</v>
      </c>
      <c r="Q174" t="n">
        <v>0</v>
      </c>
      <c r="R174" s="2" t="inlineStr"/>
    </row>
    <row r="175" ht="15" customHeight="1">
      <c r="A175" t="inlineStr">
        <is>
          <t>A 23454-2024</t>
        </is>
      </c>
      <c r="B175" s="1" t="n">
        <v>45453</v>
      </c>
      <c r="C175" s="1" t="n">
        <v>45886</v>
      </c>
      <c r="D175" t="inlineStr">
        <is>
          <t>VÄSTERBOTTENS LÄN</t>
        </is>
      </c>
      <c r="E175" t="inlineStr">
        <is>
          <t>STORUMAN</t>
        </is>
      </c>
      <c r="F175" t="inlineStr">
        <is>
          <t>Sveaskog</t>
        </is>
      </c>
      <c r="G175" t="n">
        <v>26.6</v>
      </c>
      <c r="H175" t="n">
        <v>0</v>
      </c>
      <c r="I175" t="n">
        <v>0</v>
      </c>
      <c r="J175" t="n">
        <v>0</v>
      </c>
      <c r="K175" t="n">
        <v>0</v>
      </c>
      <c r="L175" t="n">
        <v>0</v>
      </c>
      <c r="M175" t="n">
        <v>0</v>
      </c>
      <c r="N175" t="n">
        <v>0</v>
      </c>
      <c r="O175" t="n">
        <v>0</v>
      </c>
      <c r="P175" t="n">
        <v>0</v>
      </c>
      <c r="Q175" t="n">
        <v>0</v>
      </c>
      <c r="R175" s="2" t="inlineStr"/>
    </row>
    <row r="176" ht="15" customHeight="1">
      <c r="A176" t="inlineStr">
        <is>
          <t>A 36918-2021</t>
        </is>
      </c>
      <c r="B176" s="1" t="n">
        <v>44393.48011574074</v>
      </c>
      <c r="C176" s="1" t="n">
        <v>45886</v>
      </c>
      <c r="D176" t="inlineStr">
        <is>
          <t>VÄSTERBOTTENS LÄN</t>
        </is>
      </c>
      <c r="E176" t="inlineStr">
        <is>
          <t>STORUMAN</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15620-2025</t>
        </is>
      </c>
      <c r="B177" s="1" t="n">
        <v>45747</v>
      </c>
      <c r="C177" s="1" t="n">
        <v>45886</v>
      </c>
      <c r="D177" t="inlineStr">
        <is>
          <t>VÄSTERBOTTENS LÄN</t>
        </is>
      </c>
      <c r="E177" t="inlineStr">
        <is>
          <t>STORUMAN</t>
        </is>
      </c>
      <c r="G177" t="n">
        <v>15.2</v>
      </c>
      <c r="H177" t="n">
        <v>0</v>
      </c>
      <c r="I177" t="n">
        <v>0</v>
      </c>
      <c r="J177" t="n">
        <v>0</v>
      </c>
      <c r="K177" t="n">
        <v>0</v>
      </c>
      <c r="L177" t="n">
        <v>0</v>
      </c>
      <c r="M177" t="n">
        <v>0</v>
      </c>
      <c r="N177" t="n">
        <v>0</v>
      </c>
      <c r="O177" t="n">
        <v>0</v>
      </c>
      <c r="P177" t="n">
        <v>0</v>
      </c>
      <c r="Q177" t="n">
        <v>0</v>
      </c>
      <c r="R177" s="2" t="inlineStr"/>
    </row>
    <row r="178" ht="15" customHeight="1">
      <c r="A178" t="inlineStr">
        <is>
          <t>A 24932-2024</t>
        </is>
      </c>
      <c r="B178" s="1" t="n">
        <v>45461</v>
      </c>
      <c r="C178" s="1" t="n">
        <v>45886</v>
      </c>
      <c r="D178" t="inlineStr">
        <is>
          <t>VÄSTERBOTTENS LÄN</t>
        </is>
      </c>
      <c r="E178" t="inlineStr">
        <is>
          <t>STORUMAN</t>
        </is>
      </c>
      <c r="G178" t="n">
        <v>7.1</v>
      </c>
      <c r="H178" t="n">
        <v>0</v>
      </c>
      <c r="I178" t="n">
        <v>0</v>
      </c>
      <c r="J178" t="n">
        <v>0</v>
      </c>
      <c r="K178" t="n">
        <v>0</v>
      </c>
      <c r="L178" t="n">
        <v>0</v>
      </c>
      <c r="M178" t="n">
        <v>0</v>
      </c>
      <c r="N178" t="n">
        <v>0</v>
      </c>
      <c r="O178" t="n">
        <v>0</v>
      </c>
      <c r="P178" t="n">
        <v>0</v>
      </c>
      <c r="Q178" t="n">
        <v>0</v>
      </c>
      <c r="R178" s="2" t="inlineStr"/>
    </row>
    <row r="179" ht="15" customHeight="1">
      <c r="A179" t="inlineStr">
        <is>
          <t>A 34399-2024</t>
        </is>
      </c>
      <c r="B179" s="1" t="n">
        <v>45525</v>
      </c>
      <c r="C179" s="1" t="n">
        <v>45886</v>
      </c>
      <c r="D179" t="inlineStr">
        <is>
          <t>VÄSTERBOTTENS LÄN</t>
        </is>
      </c>
      <c r="E179" t="inlineStr">
        <is>
          <t>STORUMAN</t>
        </is>
      </c>
      <c r="F179" t="inlineStr">
        <is>
          <t>Övriga statliga verk och myndigheter</t>
        </is>
      </c>
      <c r="G179" t="n">
        <v>10.6</v>
      </c>
      <c r="H179" t="n">
        <v>0</v>
      </c>
      <c r="I179" t="n">
        <v>0</v>
      </c>
      <c r="J179" t="n">
        <v>0</v>
      </c>
      <c r="K179" t="n">
        <v>0</v>
      </c>
      <c r="L179" t="n">
        <v>0</v>
      </c>
      <c r="M179" t="n">
        <v>0</v>
      </c>
      <c r="N179" t="n">
        <v>0</v>
      </c>
      <c r="O179" t="n">
        <v>0</v>
      </c>
      <c r="P179" t="n">
        <v>0</v>
      </c>
      <c r="Q179" t="n">
        <v>0</v>
      </c>
      <c r="R179" s="2" t="inlineStr"/>
    </row>
    <row r="180" ht="15" customHeight="1">
      <c r="A180" t="inlineStr">
        <is>
          <t>A 41851-2024</t>
        </is>
      </c>
      <c r="B180" s="1" t="n">
        <v>45561.43890046296</v>
      </c>
      <c r="C180" s="1" t="n">
        <v>45886</v>
      </c>
      <c r="D180" t="inlineStr">
        <is>
          <t>VÄSTERBOTTENS LÄN</t>
        </is>
      </c>
      <c r="E180" t="inlineStr">
        <is>
          <t>STORUMAN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56533-2021</t>
        </is>
      </c>
      <c r="B181" s="1" t="n">
        <v>44480</v>
      </c>
      <c r="C181" s="1" t="n">
        <v>45886</v>
      </c>
      <c r="D181" t="inlineStr">
        <is>
          <t>VÄSTERBOTTENS LÄN</t>
        </is>
      </c>
      <c r="E181" t="inlineStr">
        <is>
          <t>STORUMAN</t>
        </is>
      </c>
      <c r="G181" t="n">
        <v>19.4</v>
      </c>
      <c r="H181" t="n">
        <v>0</v>
      </c>
      <c r="I181" t="n">
        <v>0</v>
      </c>
      <c r="J181" t="n">
        <v>0</v>
      </c>
      <c r="K181" t="n">
        <v>0</v>
      </c>
      <c r="L181" t="n">
        <v>0</v>
      </c>
      <c r="M181" t="n">
        <v>0</v>
      </c>
      <c r="N181" t="n">
        <v>0</v>
      </c>
      <c r="O181" t="n">
        <v>0</v>
      </c>
      <c r="P181" t="n">
        <v>0</v>
      </c>
      <c r="Q181" t="n">
        <v>0</v>
      </c>
      <c r="R181" s="2" t="inlineStr"/>
    </row>
    <row r="182" ht="15" customHeight="1">
      <c r="A182" t="inlineStr">
        <is>
          <t>A 47140-2023</t>
        </is>
      </c>
      <c r="B182" s="1" t="n">
        <v>45196</v>
      </c>
      <c r="C182" s="1" t="n">
        <v>45886</v>
      </c>
      <c r="D182" t="inlineStr">
        <is>
          <t>VÄSTERBOTTENS LÄN</t>
        </is>
      </c>
      <c r="E182" t="inlineStr">
        <is>
          <t>STORUMAN</t>
        </is>
      </c>
      <c r="G182" t="n">
        <v>10.3</v>
      </c>
      <c r="H182" t="n">
        <v>0</v>
      </c>
      <c r="I182" t="n">
        <v>0</v>
      </c>
      <c r="J182" t="n">
        <v>0</v>
      </c>
      <c r="K182" t="n">
        <v>0</v>
      </c>
      <c r="L182" t="n">
        <v>0</v>
      </c>
      <c r="M182" t="n">
        <v>0</v>
      </c>
      <c r="N182" t="n">
        <v>0</v>
      </c>
      <c r="O182" t="n">
        <v>0</v>
      </c>
      <c r="P182" t="n">
        <v>0</v>
      </c>
      <c r="Q182" t="n">
        <v>0</v>
      </c>
      <c r="R182" s="2" t="inlineStr"/>
    </row>
    <row r="183" ht="15" customHeight="1">
      <c r="A183" t="inlineStr">
        <is>
          <t>A 60535-2023</t>
        </is>
      </c>
      <c r="B183" s="1" t="n">
        <v>45258</v>
      </c>
      <c r="C183" s="1" t="n">
        <v>45886</v>
      </c>
      <c r="D183" t="inlineStr">
        <is>
          <t>VÄSTERBOTTENS LÄN</t>
        </is>
      </c>
      <c r="E183" t="inlineStr">
        <is>
          <t>STORUMAN</t>
        </is>
      </c>
      <c r="G183" t="n">
        <v>16</v>
      </c>
      <c r="H183" t="n">
        <v>0</v>
      </c>
      <c r="I183" t="n">
        <v>0</v>
      </c>
      <c r="J183" t="n">
        <v>0</v>
      </c>
      <c r="K183" t="n">
        <v>0</v>
      </c>
      <c r="L183" t="n">
        <v>0</v>
      </c>
      <c r="M183" t="n">
        <v>0</v>
      </c>
      <c r="N183" t="n">
        <v>0</v>
      </c>
      <c r="O183" t="n">
        <v>0</v>
      </c>
      <c r="P183" t="n">
        <v>0</v>
      </c>
      <c r="Q183" t="n">
        <v>0</v>
      </c>
      <c r="R183" s="2" t="inlineStr"/>
    </row>
    <row r="184" ht="15" customHeight="1">
      <c r="A184" t="inlineStr">
        <is>
          <t>A 47299-2023</t>
        </is>
      </c>
      <c r="B184" s="1" t="n">
        <v>45196</v>
      </c>
      <c r="C184" s="1" t="n">
        <v>45886</v>
      </c>
      <c r="D184" t="inlineStr">
        <is>
          <t>VÄSTERBOTTENS LÄN</t>
        </is>
      </c>
      <c r="E184" t="inlineStr">
        <is>
          <t>STORUMAN</t>
        </is>
      </c>
      <c r="G184" t="n">
        <v>12.3</v>
      </c>
      <c r="H184" t="n">
        <v>0</v>
      </c>
      <c r="I184" t="n">
        <v>0</v>
      </c>
      <c r="J184" t="n">
        <v>0</v>
      </c>
      <c r="K184" t="n">
        <v>0</v>
      </c>
      <c r="L184" t="n">
        <v>0</v>
      </c>
      <c r="M184" t="n">
        <v>0</v>
      </c>
      <c r="N184" t="n">
        <v>0</v>
      </c>
      <c r="O184" t="n">
        <v>0</v>
      </c>
      <c r="P184" t="n">
        <v>0</v>
      </c>
      <c r="Q184" t="n">
        <v>0</v>
      </c>
      <c r="R184" s="2" t="inlineStr"/>
    </row>
    <row r="185" ht="15" customHeight="1">
      <c r="A185" t="inlineStr">
        <is>
          <t>A 17007-2024</t>
        </is>
      </c>
      <c r="B185" s="1" t="n">
        <v>45411</v>
      </c>
      <c r="C185" s="1" t="n">
        <v>45886</v>
      </c>
      <c r="D185" t="inlineStr">
        <is>
          <t>VÄSTERBOTTENS LÄN</t>
        </is>
      </c>
      <c r="E185" t="inlineStr">
        <is>
          <t>STORUMAN</t>
        </is>
      </c>
      <c r="G185" t="n">
        <v>1.1</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45886</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48716-2024</t>
        </is>
      </c>
      <c r="B187" s="1" t="n">
        <v>45593</v>
      </c>
      <c r="C187" s="1" t="n">
        <v>45886</v>
      </c>
      <c r="D187" t="inlineStr">
        <is>
          <t>VÄSTERBOTTENS LÄN</t>
        </is>
      </c>
      <c r="E187" t="inlineStr">
        <is>
          <t>STORUMAN</t>
        </is>
      </c>
      <c r="F187" t="inlineStr">
        <is>
          <t>Allmännings- och besparingsskogar</t>
        </is>
      </c>
      <c r="G187" t="n">
        <v>26</v>
      </c>
      <c r="H187" t="n">
        <v>0</v>
      </c>
      <c r="I187" t="n">
        <v>0</v>
      </c>
      <c r="J187" t="n">
        <v>0</v>
      </c>
      <c r="K187" t="n">
        <v>0</v>
      </c>
      <c r="L187" t="n">
        <v>0</v>
      </c>
      <c r="M187" t="n">
        <v>0</v>
      </c>
      <c r="N187" t="n">
        <v>0</v>
      </c>
      <c r="O187" t="n">
        <v>0</v>
      </c>
      <c r="P187" t="n">
        <v>0</v>
      </c>
      <c r="Q187" t="n">
        <v>0</v>
      </c>
      <c r="R187" s="2" t="inlineStr"/>
    </row>
    <row r="188" ht="15" customHeight="1">
      <c r="A188" t="inlineStr">
        <is>
          <t>A 12314-2021</t>
        </is>
      </c>
      <c r="B188" s="1" t="n">
        <v>44266</v>
      </c>
      <c r="C188" s="1" t="n">
        <v>45886</v>
      </c>
      <c r="D188" t="inlineStr">
        <is>
          <t>VÄSTERBOTTENS LÄN</t>
        </is>
      </c>
      <c r="E188" t="inlineStr">
        <is>
          <t>STORUMAN</t>
        </is>
      </c>
      <c r="G188" t="n">
        <v>5.6</v>
      </c>
      <c r="H188" t="n">
        <v>0</v>
      </c>
      <c r="I188" t="n">
        <v>0</v>
      </c>
      <c r="J188" t="n">
        <v>0</v>
      </c>
      <c r="K188" t="n">
        <v>0</v>
      </c>
      <c r="L188" t="n">
        <v>0</v>
      </c>
      <c r="M188" t="n">
        <v>0</v>
      </c>
      <c r="N188" t="n">
        <v>0</v>
      </c>
      <c r="O188" t="n">
        <v>0</v>
      </c>
      <c r="P188" t="n">
        <v>0</v>
      </c>
      <c r="Q188" t="n">
        <v>0</v>
      </c>
      <c r="R188" s="2" t="inlineStr"/>
    </row>
    <row r="189" ht="15" customHeight="1">
      <c r="A189" t="inlineStr">
        <is>
          <t>A 15386-2024</t>
        </is>
      </c>
      <c r="B189" s="1" t="n">
        <v>45400</v>
      </c>
      <c r="C189" s="1" t="n">
        <v>45886</v>
      </c>
      <c r="D189" t="inlineStr">
        <is>
          <t>VÄSTERBOTTENS LÄN</t>
        </is>
      </c>
      <c r="E189" t="inlineStr">
        <is>
          <t>STORUMAN</t>
        </is>
      </c>
      <c r="G189" t="n">
        <v>5.7</v>
      </c>
      <c r="H189" t="n">
        <v>0</v>
      </c>
      <c r="I189" t="n">
        <v>0</v>
      </c>
      <c r="J189" t="n">
        <v>0</v>
      </c>
      <c r="K189" t="n">
        <v>0</v>
      </c>
      <c r="L189" t="n">
        <v>0</v>
      </c>
      <c r="M189" t="n">
        <v>0</v>
      </c>
      <c r="N189" t="n">
        <v>0</v>
      </c>
      <c r="O189" t="n">
        <v>0</v>
      </c>
      <c r="P189" t="n">
        <v>0</v>
      </c>
      <c r="Q189" t="n">
        <v>0</v>
      </c>
      <c r="R189" s="2" t="inlineStr"/>
    </row>
    <row r="190" ht="15" customHeight="1">
      <c r="A190" t="inlineStr">
        <is>
          <t>A 14823-2024</t>
        </is>
      </c>
      <c r="B190" s="1" t="n">
        <v>45397</v>
      </c>
      <c r="C190" s="1" t="n">
        <v>45886</v>
      </c>
      <c r="D190" t="inlineStr">
        <is>
          <t>VÄSTERBOTTENS LÄN</t>
        </is>
      </c>
      <c r="E190" t="inlineStr">
        <is>
          <t>STORUMAN</t>
        </is>
      </c>
      <c r="G190" t="n">
        <v>18.2</v>
      </c>
      <c r="H190" t="n">
        <v>0</v>
      </c>
      <c r="I190" t="n">
        <v>0</v>
      </c>
      <c r="J190" t="n">
        <v>0</v>
      </c>
      <c r="K190" t="n">
        <v>0</v>
      </c>
      <c r="L190" t="n">
        <v>0</v>
      </c>
      <c r="M190" t="n">
        <v>0</v>
      </c>
      <c r="N190" t="n">
        <v>0</v>
      </c>
      <c r="O190" t="n">
        <v>0</v>
      </c>
      <c r="P190" t="n">
        <v>0</v>
      </c>
      <c r="Q190" t="n">
        <v>0</v>
      </c>
      <c r="R190" s="2" t="inlineStr"/>
    </row>
    <row r="191" ht="15" customHeight="1">
      <c r="A191" t="inlineStr">
        <is>
          <t>A 6924-2025</t>
        </is>
      </c>
      <c r="B191" s="1" t="n">
        <v>45701</v>
      </c>
      <c r="C191" s="1" t="n">
        <v>45886</v>
      </c>
      <c r="D191" t="inlineStr">
        <is>
          <t>VÄSTERBOTTENS LÄN</t>
        </is>
      </c>
      <c r="E191" t="inlineStr">
        <is>
          <t>STORUMAN</t>
        </is>
      </c>
      <c r="F191" t="inlineStr">
        <is>
          <t>SCA</t>
        </is>
      </c>
      <c r="G191" t="n">
        <v>11.7</v>
      </c>
      <c r="H191" t="n">
        <v>0</v>
      </c>
      <c r="I191" t="n">
        <v>0</v>
      </c>
      <c r="J191" t="n">
        <v>0</v>
      </c>
      <c r="K191" t="n">
        <v>0</v>
      </c>
      <c r="L191" t="n">
        <v>0</v>
      </c>
      <c r="M191" t="n">
        <v>0</v>
      </c>
      <c r="N191" t="n">
        <v>0</v>
      </c>
      <c r="O191" t="n">
        <v>0</v>
      </c>
      <c r="P191" t="n">
        <v>0</v>
      </c>
      <c r="Q191" t="n">
        <v>0</v>
      </c>
      <c r="R191" s="2" t="inlineStr"/>
    </row>
    <row r="192" ht="15" customHeight="1">
      <c r="A192" t="inlineStr">
        <is>
          <t>A 42171-2023</t>
        </is>
      </c>
      <c r="B192" s="1" t="n">
        <v>45178.40459490741</v>
      </c>
      <c r="C192" s="1" t="n">
        <v>45886</v>
      </c>
      <c r="D192" t="inlineStr">
        <is>
          <t>VÄSTERBOTTENS LÄN</t>
        </is>
      </c>
      <c r="E192" t="inlineStr">
        <is>
          <t>STORUMAN</t>
        </is>
      </c>
      <c r="G192" t="n">
        <v>10</v>
      </c>
      <c r="H192" t="n">
        <v>0</v>
      </c>
      <c r="I192" t="n">
        <v>0</v>
      </c>
      <c r="J192" t="n">
        <v>0</v>
      </c>
      <c r="K192" t="n">
        <v>0</v>
      </c>
      <c r="L192" t="n">
        <v>0</v>
      </c>
      <c r="M192" t="n">
        <v>0</v>
      </c>
      <c r="N192" t="n">
        <v>0</v>
      </c>
      <c r="O192" t="n">
        <v>0</v>
      </c>
      <c r="P192" t="n">
        <v>0</v>
      </c>
      <c r="Q192" t="n">
        <v>0</v>
      </c>
      <c r="R192" s="2" t="inlineStr"/>
    </row>
    <row r="193" ht="15" customHeight="1">
      <c r="A193" t="inlineStr">
        <is>
          <t>A 40676-2024</t>
        </is>
      </c>
      <c r="B193" s="1" t="n">
        <v>45558.36774305555</v>
      </c>
      <c r="C193" s="1" t="n">
        <v>45886</v>
      </c>
      <c r="D193" t="inlineStr">
        <is>
          <t>VÄSTERBOTTENS LÄN</t>
        </is>
      </c>
      <c r="E193" t="inlineStr">
        <is>
          <t>STORUMAN</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2794-2022</t>
        </is>
      </c>
      <c r="B194" s="1" t="n">
        <v>44580</v>
      </c>
      <c r="C194" s="1" t="n">
        <v>45886</v>
      </c>
      <c r="D194" t="inlineStr">
        <is>
          <t>VÄSTERBOTTENS LÄN</t>
        </is>
      </c>
      <c r="E194" t="inlineStr">
        <is>
          <t>STORUMAN</t>
        </is>
      </c>
      <c r="G194" t="n">
        <v>12.5</v>
      </c>
      <c r="H194" t="n">
        <v>0</v>
      </c>
      <c r="I194" t="n">
        <v>0</v>
      </c>
      <c r="J194" t="n">
        <v>0</v>
      </c>
      <c r="K194" t="n">
        <v>0</v>
      </c>
      <c r="L194" t="n">
        <v>0</v>
      </c>
      <c r="M194" t="n">
        <v>0</v>
      </c>
      <c r="N194" t="n">
        <v>0</v>
      </c>
      <c r="O194" t="n">
        <v>0</v>
      </c>
      <c r="P194" t="n">
        <v>0</v>
      </c>
      <c r="Q194" t="n">
        <v>0</v>
      </c>
      <c r="R194" s="2" t="inlineStr"/>
    </row>
    <row r="195" ht="15" customHeight="1">
      <c r="A195" t="inlineStr">
        <is>
          <t>A 47491-2020</t>
        </is>
      </c>
      <c r="B195" s="1" t="n">
        <v>44095</v>
      </c>
      <c r="C195" s="1" t="n">
        <v>45886</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42423-2024</t>
        </is>
      </c>
      <c r="B196" s="1" t="n">
        <v>45565.39368055556</v>
      </c>
      <c r="C196" s="1" t="n">
        <v>45886</v>
      </c>
      <c r="D196" t="inlineStr">
        <is>
          <t>VÄSTERBOTTENS LÄN</t>
        </is>
      </c>
      <c r="E196" t="inlineStr">
        <is>
          <t>STORUMAN</t>
        </is>
      </c>
      <c r="G196" t="n">
        <v>2</v>
      </c>
      <c r="H196" t="n">
        <v>0</v>
      </c>
      <c r="I196" t="n">
        <v>0</v>
      </c>
      <c r="J196" t="n">
        <v>0</v>
      </c>
      <c r="K196" t="n">
        <v>0</v>
      </c>
      <c r="L196" t="n">
        <v>0</v>
      </c>
      <c r="M196" t="n">
        <v>0</v>
      </c>
      <c r="N196" t="n">
        <v>0</v>
      </c>
      <c r="O196" t="n">
        <v>0</v>
      </c>
      <c r="P196" t="n">
        <v>0</v>
      </c>
      <c r="Q196" t="n">
        <v>0</v>
      </c>
      <c r="R196" s="2" t="inlineStr"/>
    </row>
    <row r="197" ht="15" customHeight="1">
      <c r="A197" t="inlineStr">
        <is>
          <t>A 47135-2023</t>
        </is>
      </c>
      <c r="B197" s="1" t="n">
        <v>45196</v>
      </c>
      <c r="C197" s="1" t="n">
        <v>45886</v>
      </c>
      <c r="D197" t="inlineStr">
        <is>
          <t>VÄSTERBOTTENS LÄN</t>
        </is>
      </c>
      <c r="E197" t="inlineStr">
        <is>
          <t>STORUMAN</t>
        </is>
      </c>
      <c r="G197" t="n">
        <v>30.4</v>
      </c>
      <c r="H197" t="n">
        <v>0</v>
      </c>
      <c r="I197" t="n">
        <v>0</v>
      </c>
      <c r="J197" t="n">
        <v>0</v>
      </c>
      <c r="K197" t="n">
        <v>0</v>
      </c>
      <c r="L197" t="n">
        <v>0</v>
      </c>
      <c r="M197" t="n">
        <v>0</v>
      </c>
      <c r="N197" t="n">
        <v>0</v>
      </c>
      <c r="O197" t="n">
        <v>0</v>
      </c>
      <c r="P197" t="n">
        <v>0</v>
      </c>
      <c r="Q197" t="n">
        <v>0</v>
      </c>
      <c r="R197" s="2" t="inlineStr"/>
    </row>
    <row r="198" ht="15" customHeight="1">
      <c r="A198" t="inlineStr">
        <is>
          <t>A 25797-2025</t>
        </is>
      </c>
      <c r="B198" s="1" t="n">
        <v>45804.3993287037</v>
      </c>
      <c r="C198" s="1" t="n">
        <v>45886</v>
      </c>
      <c r="D198" t="inlineStr">
        <is>
          <t>VÄSTERBOTTENS LÄN</t>
        </is>
      </c>
      <c r="E198" t="inlineStr">
        <is>
          <t>STORUMAN</t>
        </is>
      </c>
      <c r="G198" t="n">
        <v>4</v>
      </c>
      <c r="H198" t="n">
        <v>0</v>
      </c>
      <c r="I198" t="n">
        <v>0</v>
      </c>
      <c r="J198" t="n">
        <v>0</v>
      </c>
      <c r="K198" t="n">
        <v>0</v>
      </c>
      <c r="L198" t="n">
        <v>0</v>
      </c>
      <c r="M198" t="n">
        <v>0</v>
      </c>
      <c r="N198" t="n">
        <v>0</v>
      </c>
      <c r="O198" t="n">
        <v>0</v>
      </c>
      <c r="P198" t="n">
        <v>0</v>
      </c>
      <c r="Q198" t="n">
        <v>0</v>
      </c>
      <c r="R198" s="2" t="inlineStr"/>
    </row>
    <row r="199" ht="15" customHeight="1">
      <c r="A199" t="inlineStr">
        <is>
          <t>A 2409-2024</t>
        </is>
      </c>
      <c r="B199" s="1" t="n">
        <v>45308</v>
      </c>
      <c r="C199" s="1" t="n">
        <v>45886</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52680-2023</t>
        </is>
      </c>
      <c r="B200" s="1" t="n">
        <v>45219</v>
      </c>
      <c r="C200" s="1" t="n">
        <v>45886</v>
      </c>
      <c r="D200" t="inlineStr">
        <is>
          <t>VÄSTERBOTTENS LÄN</t>
        </is>
      </c>
      <c r="E200" t="inlineStr">
        <is>
          <t>STORUMAN</t>
        </is>
      </c>
      <c r="G200" t="n">
        <v>31.8</v>
      </c>
      <c r="H200" t="n">
        <v>0</v>
      </c>
      <c r="I200" t="n">
        <v>0</v>
      </c>
      <c r="J200" t="n">
        <v>0</v>
      </c>
      <c r="K200" t="n">
        <v>0</v>
      </c>
      <c r="L200" t="n">
        <v>0</v>
      </c>
      <c r="M200" t="n">
        <v>0</v>
      </c>
      <c r="N200" t="n">
        <v>0</v>
      </c>
      <c r="O200" t="n">
        <v>0</v>
      </c>
      <c r="P200" t="n">
        <v>0</v>
      </c>
      <c r="Q200" t="n">
        <v>0</v>
      </c>
      <c r="R200" s="2" t="inlineStr"/>
    </row>
    <row r="201" ht="15" customHeight="1">
      <c r="A201" t="inlineStr">
        <is>
          <t>A 51366-2023</t>
        </is>
      </c>
      <c r="B201" s="1" t="n">
        <v>45219</v>
      </c>
      <c r="C201" s="1" t="n">
        <v>45886</v>
      </c>
      <c r="D201" t="inlineStr">
        <is>
          <t>VÄSTERBOTTENS LÄN</t>
        </is>
      </c>
      <c r="E201" t="inlineStr">
        <is>
          <t>STORUMAN</t>
        </is>
      </c>
      <c r="G201" t="n">
        <v>5</v>
      </c>
      <c r="H201" t="n">
        <v>0</v>
      </c>
      <c r="I201" t="n">
        <v>0</v>
      </c>
      <c r="J201" t="n">
        <v>0</v>
      </c>
      <c r="K201" t="n">
        <v>0</v>
      </c>
      <c r="L201" t="n">
        <v>0</v>
      </c>
      <c r="M201" t="n">
        <v>0</v>
      </c>
      <c r="N201" t="n">
        <v>0</v>
      </c>
      <c r="O201" t="n">
        <v>0</v>
      </c>
      <c r="P201" t="n">
        <v>0</v>
      </c>
      <c r="Q201" t="n">
        <v>0</v>
      </c>
      <c r="R201" s="2" t="inlineStr"/>
    </row>
    <row r="202" ht="15" customHeight="1">
      <c r="A202" t="inlineStr">
        <is>
          <t>A 26329-2025</t>
        </is>
      </c>
      <c r="B202" s="1" t="n">
        <v>45805</v>
      </c>
      <c r="C202" s="1" t="n">
        <v>45886</v>
      </c>
      <c r="D202" t="inlineStr">
        <is>
          <t>VÄSTERBOTTENS LÄN</t>
        </is>
      </c>
      <c r="E202" t="inlineStr">
        <is>
          <t>STORUMAN</t>
        </is>
      </c>
      <c r="G202" t="n">
        <v>1.2</v>
      </c>
      <c r="H202" t="n">
        <v>0</v>
      </c>
      <c r="I202" t="n">
        <v>0</v>
      </c>
      <c r="J202" t="n">
        <v>0</v>
      </c>
      <c r="K202" t="n">
        <v>0</v>
      </c>
      <c r="L202" t="n">
        <v>0</v>
      </c>
      <c r="M202" t="n">
        <v>0</v>
      </c>
      <c r="N202" t="n">
        <v>0</v>
      </c>
      <c r="O202" t="n">
        <v>0</v>
      </c>
      <c r="P202" t="n">
        <v>0</v>
      </c>
      <c r="Q202" t="n">
        <v>0</v>
      </c>
      <c r="R202" s="2" t="inlineStr"/>
    </row>
    <row r="203" ht="15" customHeight="1">
      <c r="A203" t="inlineStr">
        <is>
          <t>A 25968-2024</t>
        </is>
      </c>
      <c r="B203" s="1" t="n">
        <v>45467.68030092592</v>
      </c>
      <c r="C203" s="1" t="n">
        <v>45886</v>
      </c>
      <c r="D203" t="inlineStr">
        <is>
          <t>VÄSTERBOTTENS LÄN</t>
        </is>
      </c>
      <c r="E203" t="inlineStr">
        <is>
          <t>STORUMAN</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52521-2024</t>
        </is>
      </c>
      <c r="B204" s="1" t="n">
        <v>45609.60005787037</v>
      </c>
      <c r="C204" s="1" t="n">
        <v>45886</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57962-2024</t>
        </is>
      </c>
      <c r="B205" s="1" t="n">
        <v>45631</v>
      </c>
      <c r="C205" s="1" t="n">
        <v>45886</v>
      </c>
      <c r="D205" t="inlineStr">
        <is>
          <t>VÄSTERBOTTENS LÄN</t>
        </is>
      </c>
      <c r="E205" t="inlineStr">
        <is>
          <t>STORUMAN</t>
        </is>
      </c>
      <c r="F205" t="inlineStr">
        <is>
          <t>Allmännings- och besparingsskogar</t>
        </is>
      </c>
      <c r="G205" t="n">
        <v>855.7</v>
      </c>
      <c r="H205" t="n">
        <v>0</v>
      </c>
      <c r="I205" t="n">
        <v>0</v>
      </c>
      <c r="J205" t="n">
        <v>0</v>
      </c>
      <c r="K205" t="n">
        <v>0</v>
      </c>
      <c r="L205" t="n">
        <v>0</v>
      </c>
      <c r="M205" t="n">
        <v>0</v>
      </c>
      <c r="N205" t="n">
        <v>0</v>
      </c>
      <c r="O205" t="n">
        <v>0</v>
      </c>
      <c r="P205" t="n">
        <v>0</v>
      </c>
      <c r="Q205" t="n">
        <v>0</v>
      </c>
      <c r="R205" s="2" t="inlineStr"/>
    </row>
    <row r="206" ht="15" customHeight="1">
      <c r="A206" t="inlineStr">
        <is>
          <t>A 52209-2024</t>
        </is>
      </c>
      <c r="B206" s="1" t="n">
        <v>45607</v>
      </c>
      <c r="C206" s="1" t="n">
        <v>45886</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26344-2025</t>
        </is>
      </c>
      <c r="B207" s="1" t="n">
        <v>45805</v>
      </c>
      <c r="C207" s="1" t="n">
        <v>45886</v>
      </c>
      <c r="D207" t="inlineStr">
        <is>
          <t>VÄSTERBOTTENS LÄN</t>
        </is>
      </c>
      <c r="E207" t="inlineStr">
        <is>
          <t>STORUMAN</t>
        </is>
      </c>
      <c r="G207" t="n">
        <v>3.9</v>
      </c>
      <c r="H207" t="n">
        <v>0</v>
      </c>
      <c r="I207" t="n">
        <v>0</v>
      </c>
      <c r="J207" t="n">
        <v>0</v>
      </c>
      <c r="K207" t="n">
        <v>0</v>
      </c>
      <c r="L207" t="n">
        <v>0</v>
      </c>
      <c r="M207" t="n">
        <v>0</v>
      </c>
      <c r="N207" t="n">
        <v>0</v>
      </c>
      <c r="O207" t="n">
        <v>0</v>
      </c>
      <c r="P207" t="n">
        <v>0</v>
      </c>
      <c r="Q207" t="n">
        <v>0</v>
      </c>
      <c r="R207" s="2" t="inlineStr"/>
    </row>
    <row r="208" ht="15" customHeight="1">
      <c r="A208" t="inlineStr">
        <is>
          <t>A 1598-2025</t>
        </is>
      </c>
      <c r="B208" s="1" t="n">
        <v>45670.58628472222</v>
      </c>
      <c r="C208" s="1" t="n">
        <v>45886</v>
      </c>
      <c r="D208" t="inlineStr">
        <is>
          <t>VÄSTERBOTTENS LÄN</t>
        </is>
      </c>
      <c r="E208" t="inlineStr">
        <is>
          <t>STORUMAN</t>
        </is>
      </c>
      <c r="G208" t="n">
        <v>44.9</v>
      </c>
      <c r="H208" t="n">
        <v>0</v>
      </c>
      <c r="I208" t="n">
        <v>0</v>
      </c>
      <c r="J208" t="n">
        <v>0</v>
      </c>
      <c r="K208" t="n">
        <v>0</v>
      </c>
      <c r="L208" t="n">
        <v>0</v>
      </c>
      <c r="M208" t="n">
        <v>0</v>
      </c>
      <c r="N208" t="n">
        <v>0</v>
      </c>
      <c r="O208" t="n">
        <v>0</v>
      </c>
      <c r="P208" t="n">
        <v>0</v>
      </c>
      <c r="Q208" t="n">
        <v>0</v>
      </c>
      <c r="R208" s="2" t="inlineStr"/>
    </row>
    <row r="209" ht="15" customHeight="1">
      <c r="A209" t="inlineStr">
        <is>
          <t>A 26718-2025</t>
        </is>
      </c>
      <c r="B209" s="1" t="n">
        <v>45810.47646990741</v>
      </c>
      <c r="C209" s="1" t="n">
        <v>45886</v>
      </c>
      <c r="D209" t="inlineStr">
        <is>
          <t>VÄSTERBOTTENS LÄN</t>
        </is>
      </c>
      <c r="E209" t="inlineStr">
        <is>
          <t>STORUMAN</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45886</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28019-2023</t>
        </is>
      </c>
      <c r="B211" s="1" t="n">
        <v>45098</v>
      </c>
      <c r="C211" s="1" t="n">
        <v>45886</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27552-2024</t>
        </is>
      </c>
      <c r="B212" s="1" t="n">
        <v>45474.61884259259</v>
      </c>
      <c r="C212" s="1" t="n">
        <v>45886</v>
      </c>
      <c r="D212" t="inlineStr">
        <is>
          <t>VÄSTERBOTTENS LÄN</t>
        </is>
      </c>
      <c r="E212" t="inlineStr">
        <is>
          <t>STORUMAN</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14479-2022</t>
        </is>
      </c>
      <c r="B213" s="1" t="n">
        <v>44650</v>
      </c>
      <c r="C213" s="1" t="n">
        <v>45886</v>
      </c>
      <c r="D213" t="inlineStr">
        <is>
          <t>VÄSTERBOTTENS LÄN</t>
        </is>
      </c>
      <c r="E213" t="inlineStr">
        <is>
          <t>STORUMAN</t>
        </is>
      </c>
      <c r="F213" t="inlineStr">
        <is>
          <t>Övriga statliga verk och myndigheter</t>
        </is>
      </c>
      <c r="G213" t="n">
        <v>5.9</v>
      </c>
      <c r="H213" t="n">
        <v>0</v>
      </c>
      <c r="I213" t="n">
        <v>0</v>
      </c>
      <c r="J213" t="n">
        <v>0</v>
      </c>
      <c r="K213" t="n">
        <v>0</v>
      </c>
      <c r="L213" t="n">
        <v>0</v>
      </c>
      <c r="M213" t="n">
        <v>0</v>
      </c>
      <c r="N213" t="n">
        <v>0</v>
      </c>
      <c r="O213" t="n">
        <v>0</v>
      </c>
      <c r="P213" t="n">
        <v>0</v>
      </c>
      <c r="Q213" t="n">
        <v>0</v>
      </c>
      <c r="R213" s="2" t="inlineStr"/>
    </row>
    <row r="214" ht="15" customHeight="1">
      <c r="A214" t="inlineStr">
        <is>
          <t>A 26768-2025</t>
        </is>
      </c>
      <c r="B214" s="1" t="n">
        <v>45810.56736111111</v>
      </c>
      <c r="C214" s="1" t="n">
        <v>45886</v>
      </c>
      <c r="D214" t="inlineStr">
        <is>
          <t>VÄSTERBOTTENS LÄN</t>
        </is>
      </c>
      <c r="E214" t="inlineStr">
        <is>
          <t>STORUMAN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26764-2025</t>
        </is>
      </c>
      <c r="B215" s="1" t="n">
        <v>45810.56498842593</v>
      </c>
      <c r="C215" s="1" t="n">
        <v>45886</v>
      </c>
      <c r="D215" t="inlineStr">
        <is>
          <t>VÄSTERBOTTENS LÄN</t>
        </is>
      </c>
      <c r="E215" t="inlineStr">
        <is>
          <t>STORUMAN</t>
        </is>
      </c>
      <c r="F215" t="inlineStr">
        <is>
          <t>Sveaskog</t>
        </is>
      </c>
      <c r="G215" t="n">
        <v>12.6</v>
      </c>
      <c r="H215" t="n">
        <v>0</v>
      </c>
      <c r="I215" t="n">
        <v>0</v>
      </c>
      <c r="J215" t="n">
        <v>0</v>
      </c>
      <c r="K215" t="n">
        <v>0</v>
      </c>
      <c r="L215" t="n">
        <v>0</v>
      </c>
      <c r="M215" t="n">
        <v>0</v>
      </c>
      <c r="N215" t="n">
        <v>0</v>
      </c>
      <c r="O215" t="n">
        <v>0</v>
      </c>
      <c r="P215" t="n">
        <v>0</v>
      </c>
      <c r="Q215" t="n">
        <v>0</v>
      </c>
      <c r="R215" s="2" t="inlineStr"/>
    </row>
    <row r="216" ht="15" customHeight="1">
      <c r="A216" t="inlineStr">
        <is>
          <t>A 35067-2025</t>
        </is>
      </c>
      <c r="B216" s="1" t="n">
        <v>45852.45567129629</v>
      </c>
      <c r="C216" s="1" t="n">
        <v>45886</v>
      </c>
      <c r="D216" t="inlineStr">
        <is>
          <t>VÄSTERBOTTENS LÄN</t>
        </is>
      </c>
      <c r="E216" t="inlineStr">
        <is>
          <t>STORUMAN</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3040-2022</t>
        </is>
      </c>
      <c r="B217" s="1" t="n">
        <v>44581</v>
      </c>
      <c r="C217" s="1" t="n">
        <v>45886</v>
      </c>
      <c r="D217" t="inlineStr">
        <is>
          <t>VÄSTERBOTTENS LÄN</t>
        </is>
      </c>
      <c r="E217" t="inlineStr">
        <is>
          <t>STORUMAN</t>
        </is>
      </c>
      <c r="G217" t="n">
        <v>14.2</v>
      </c>
      <c r="H217" t="n">
        <v>0</v>
      </c>
      <c r="I217" t="n">
        <v>0</v>
      </c>
      <c r="J217" t="n">
        <v>0</v>
      </c>
      <c r="K217" t="n">
        <v>0</v>
      </c>
      <c r="L217" t="n">
        <v>0</v>
      </c>
      <c r="M217" t="n">
        <v>0</v>
      </c>
      <c r="N217" t="n">
        <v>0</v>
      </c>
      <c r="O217" t="n">
        <v>0</v>
      </c>
      <c r="P217" t="n">
        <v>0</v>
      </c>
      <c r="Q217" t="n">
        <v>0</v>
      </c>
      <c r="R217" s="2" t="inlineStr"/>
    </row>
    <row r="218" ht="15" customHeight="1">
      <c r="A218" t="inlineStr">
        <is>
          <t>A 3046-2022</t>
        </is>
      </c>
      <c r="B218" s="1" t="n">
        <v>44581</v>
      </c>
      <c r="C218" s="1" t="n">
        <v>45886</v>
      </c>
      <c r="D218" t="inlineStr">
        <is>
          <t>VÄSTERBOTTENS LÄN</t>
        </is>
      </c>
      <c r="E218" t="inlineStr">
        <is>
          <t>STORUMAN</t>
        </is>
      </c>
      <c r="G218" t="n">
        <v>23.9</v>
      </c>
      <c r="H218" t="n">
        <v>0</v>
      </c>
      <c r="I218" t="n">
        <v>0</v>
      </c>
      <c r="J218" t="n">
        <v>0</v>
      </c>
      <c r="K218" t="n">
        <v>0</v>
      </c>
      <c r="L218" t="n">
        <v>0</v>
      </c>
      <c r="M218" t="n">
        <v>0</v>
      </c>
      <c r="N218" t="n">
        <v>0</v>
      </c>
      <c r="O218" t="n">
        <v>0</v>
      </c>
      <c r="P218" t="n">
        <v>0</v>
      </c>
      <c r="Q218" t="n">
        <v>0</v>
      </c>
      <c r="R218" s="2" t="inlineStr"/>
    </row>
    <row r="219" ht="15" customHeight="1">
      <c r="A219" t="inlineStr">
        <is>
          <t>A 72289-2021</t>
        </is>
      </c>
      <c r="B219" s="1" t="n">
        <v>44543</v>
      </c>
      <c r="C219" s="1" t="n">
        <v>45886</v>
      </c>
      <c r="D219" t="inlineStr">
        <is>
          <t>VÄSTERBOTTENS LÄN</t>
        </is>
      </c>
      <c r="E219" t="inlineStr">
        <is>
          <t>STORUMAN</t>
        </is>
      </c>
      <c r="G219" t="n">
        <v>19.7</v>
      </c>
      <c r="H219" t="n">
        <v>0</v>
      </c>
      <c r="I219" t="n">
        <v>0</v>
      </c>
      <c r="J219" t="n">
        <v>0</v>
      </c>
      <c r="K219" t="n">
        <v>0</v>
      </c>
      <c r="L219" t="n">
        <v>0</v>
      </c>
      <c r="M219" t="n">
        <v>0</v>
      </c>
      <c r="N219" t="n">
        <v>0</v>
      </c>
      <c r="O219" t="n">
        <v>0</v>
      </c>
      <c r="P219" t="n">
        <v>0</v>
      </c>
      <c r="Q219" t="n">
        <v>0</v>
      </c>
      <c r="R219" s="2" t="inlineStr"/>
    </row>
    <row r="220" ht="15" customHeight="1">
      <c r="A220" t="inlineStr">
        <is>
          <t>A 6758-2023</t>
        </is>
      </c>
      <c r="B220" s="1" t="n">
        <v>44966</v>
      </c>
      <c r="C220" s="1" t="n">
        <v>45886</v>
      </c>
      <c r="D220" t="inlineStr">
        <is>
          <t>VÄSTERBOTTENS LÄN</t>
        </is>
      </c>
      <c r="E220" t="inlineStr">
        <is>
          <t>STORUMAN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25818-2024</t>
        </is>
      </c>
      <c r="B221" s="1" t="n">
        <v>45467</v>
      </c>
      <c r="C221" s="1" t="n">
        <v>45886</v>
      </c>
      <c r="D221" t="inlineStr">
        <is>
          <t>VÄSTERBOTTENS LÄN</t>
        </is>
      </c>
      <c r="E221" t="inlineStr">
        <is>
          <t>STORUMAN</t>
        </is>
      </c>
      <c r="G221" t="n">
        <v>7.6</v>
      </c>
      <c r="H221" t="n">
        <v>0</v>
      </c>
      <c r="I221" t="n">
        <v>0</v>
      </c>
      <c r="J221" t="n">
        <v>0</v>
      </c>
      <c r="K221" t="n">
        <v>0</v>
      </c>
      <c r="L221" t="n">
        <v>0</v>
      </c>
      <c r="M221" t="n">
        <v>0</v>
      </c>
      <c r="N221" t="n">
        <v>0</v>
      </c>
      <c r="O221" t="n">
        <v>0</v>
      </c>
      <c r="P221" t="n">
        <v>0</v>
      </c>
      <c r="Q221" t="n">
        <v>0</v>
      </c>
      <c r="R221" s="2" t="inlineStr"/>
    </row>
    <row r="222" ht="15" customHeight="1">
      <c r="A222" t="inlineStr">
        <is>
          <t>A 13708-2022</t>
        </is>
      </c>
      <c r="B222" s="1" t="n">
        <v>44648.92366898148</v>
      </c>
      <c r="C222" s="1" t="n">
        <v>45886</v>
      </c>
      <c r="D222" t="inlineStr">
        <is>
          <t>VÄSTERBOTTENS LÄN</t>
        </is>
      </c>
      <c r="E222" t="inlineStr">
        <is>
          <t>STORUMAN</t>
        </is>
      </c>
      <c r="G222" t="n">
        <v>17.1</v>
      </c>
      <c r="H222" t="n">
        <v>0</v>
      </c>
      <c r="I222" t="n">
        <v>0</v>
      </c>
      <c r="J222" t="n">
        <v>0</v>
      </c>
      <c r="K222" t="n">
        <v>0</v>
      </c>
      <c r="L222" t="n">
        <v>0</v>
      </c>
      <c r="M222" t="n">
        <v>0</v>
      </c>
      <c r="N222" t="n">
        <v>0</v>
      </c>
      <c r="O222" t="n">
        <v>0</v>
      </c>
      <c r="P222" t="n">
        <v>0</v>
      </c>
      <c r="Q222" t="n">
        <v>0</v>
      </c>
      <c r="R222" s="2" t="inlineStr"/>
    </row>
    <row r="223" ht="15" customHeight="1">
      <c r="A223" t="inlineStr">
        <is>
          <t>A 35072-2025</t>
        </is>
      </c>
      <c r="B223" s="1" t="n">
        <v>45852.47277777778</v>
      </c>
      <c r="C223" s="1" t="n">
        <v>45886</v>
      </c>
      <c r="D223" t="inlineStr">
        <is>
          <t>VÄSTERBOTTENS LÄN</t>
        </is>
      </c>
      <c r="E223" t="inlineStr">
        <is>
          <t>STORUMAN</t>
        </is>
      </c>
      <c r="F223" t="inlineStr">
        <is>
          <t>Holmen skog AB</t>
        </is>
      </c>
      <c r="G223" t="n">
        <v>6</v>
      </c>
      <c r="H223" t="n">
        <v>0</v>
      </c>
      <c r="I223" t="n">
        <v>0</v>
      </c>
      <c r="J223" t="n">
        <v>0</v>
      </c>
      <c r="K223" t="n">
        <v>0</v>
      </c>
      <c r="L223" t="n">
        <v>0</v>
      </c>
      <c r="M223" t="n">
        <v>0</v>
      </c>
      <c r="N223" t="n">
        <v>0</v>
      </c>
      <c r="O223" t="n">
        <v>0</v>
      </c>
      <c r="P223" t="n">
        <v>0</v>
      </c>
      <c r="Q223" t="n">
        <v>0</v>
      </c>
      <c r="R223" s="2" t="inlineStr"/>
    </row>
    <row r="224" ht="15" customHeight="1">
      <c r="A224" t="inlineStr">
        <is>
          <t>A 26729-2025</t>
        </is>
      </c>
      <c r="B224" s="1" t="n">
        <v>45810.50392361111</v>
      </c>
      <c r="C224" s="1" t="n">
        <v>45886</v>
      </c>
      <c r="D224" t="inlineStr">
        <is>
          <t>VÄSTERBOTTENS LÄN</t>
        </is>
      </c>
      <c r="E224" t="inlineStr">
        <is>
          <t>STORUMAN</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5500-2022</t>
        </is>
      </c>
      <c r="B225" s="1" t="n">
        <v>44595</v>
      </c>
      <c r="C225" s="1" t="n">
        <v>45886</v>
      </c>
      <c r="D225" t="inlineStr">
        <is>
          <t>VÄSTERBOTTENS LÄN</t>
        </is>
      </c>
      <c r="E225" t="inlineStr">
        <is>
          <t>STORUMAN</t>
        </is>
      </c>
      <c r="G225" t="n">
        <v>5.8</v>
      </c>
      <c r="H225" t="n">
        <v>0</v>
      </c>
      <c r="I225" t="n">
        <v>0</v>
      </c>
      <c r="J225" t="n">
        <v>0</v>
      </c>
      <c r="K225" t="n">
        <v>0</v>
      </c>
      <c r="L225" t="n">
        <v>0</v>
      </c>
      <c r="M225" t="n">
        <v>0</v>
      </c>
      <c r="N225" t="n">
        <v>0</v>
      </c>
      <c r="O225" t="n">
        <v>0</v>
      </c>
      <c r="P225" t="n">
        <v>0</v>
      </c>
      <c r="Q225" t="n">
        <v>0</v>
      </c>
      <c r="R225" s="2" t="inlineStr"/>
    </row>
    <row r="226" ht="15" customHeight="1">
      <c r="A226" t="inlineStr">
        <is>
          <t>A 41842-2024</t>
        </is>
      </c>
      <c r="B226" s="1" t="n">
        <v>45561.42701388889</v>
      </c>
      <c r="C226" s="1" t="n">
        <v>45886</v>
      </c>
      <c r="D226" t="inlineStr">
        <is>
          <t>VÄSTERBOTTENS LÄN</t>
        </is>
      </c>
      <c r="E226" t="inlineStr">
        <is>
          <t>STORUMAN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45886</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244-2024</t>
        </is>
      </c>
      <c r="B228" s="1" t="n">
        <v>45294.93322916667</v>
      </c>
      <c r="C228" s="1" t="n">
        <v>45886</v>
      </c>
      <c r="D228" t="inlineStr">
        <is>
          <t>VÄSTERBOTTENS LÄN</t>
        </is>
      </c>
      <c r="E228" t="inlineStr">
        <is>
          <t>STORUMAN</t>
        </is>
      </c>
      <c r="G228" t="n">
        <v>6.6</v>
      </c>
      <c r="H228" t="n">
        <v>0</v>
      </c>
      <c r="I228" t="n">
        <v>0</v>
      </c>
      <c r="J228" t="n">
        <v>0</v>
      </c>
      <c r="K228" t="n">
        <v>0</v>
      </c>
      <c r="L228" t="n">
        <v>0</v>
      </c>
      <c r="M228" t="n">
        <v>0</v>
      </c>
      <c r="N228" t="n">
        <v>0</v>
      </c>
      <c r="O228" t="n">
        <v>0</v>
      </c>
      <c r="P228" t="n">
        <v>0</v>
      </c>
      <c r="Q228" t="n">
        <v>0</v>
      </c>
      <c r="R228" s="2" t="inlineStr"/>
    </row>
    <row r="229" ht="15" customHeight="1">
      <c r="A229" t="inlineStr">
        <is>
          <t>A 18366-2022</t>
        </is>
      </c>
      <c r="B229" s="1" t="n">
        <v>44685</v>
      </c>
      <c r="C229" s="1" t="n">
        <v>45886</v>
      </c>
      <c r="D229" t="inlineStr">
        <is>
          <t>VÄSTERBOTTENS LÄN</t>
        </is>
      </c>
      <c r="E229" t="inlineStr">
        <is>
          <t>STORUMAN</t>
        </is>
      </c>
      <c r="G229" t="n">
        <v>19.6</v>
      </c>
      <c r="H229" t="n">
        <v>0</v>
      </c>
      <c r="I229" t="n">
        <v>0</v>
      </c>
      <c r="J229" t="n">
        <v>0</v>
      </c>
      <c r="K229" t="n">
        <v>0</v>
      </c>
      <c r="L229" t="n">
        <v>0</v>
      </c>
      <c r="M229" t="n">
        <v>0</v>
      </c>
      <c r="N229" t="n">
        <v>0</v>
      </c>
      <c r="O229" t="n">
        <v>0</v>
      </c>
      <c r="P229" t="n">
        <v>0</v>
      </c>
      <c r="Q229" t="n">
        <v>0</v>
      </c>
      <c r="R229" s="2" t="inlineStr"/>
    </row>
    <row r="230" ht="15" customHeight="1">
      <c r="A230" t="inlineStr">
        <is>
          <t>A 35374-2024</t>
        </is>
      </c>
      <c r="B230" s="1" t="n">
        <v>45531.37258101852</v>
      </c>
      <c r="C230" s="1" t="n">
        <v>45886</v>
      </c>
      <c r="D230" t="inlineStr">
        <is>
          <t>VÄSTERBOTTENS LÄN</t>
        </is>
      </c>
      <c r="E230" t="inlineStr">
        <is>
          <t>STORUMAN</t>
        </is>
      </c>
      <c r="G230" t="n">
        <v>4.5</v>
      </c>
      <c r="H230" t="n">
        <v>0</v>
      </c>
      <c r="I230" t="n">
        <v>0</v>
      </c>
      <c r="J230" t="n">
        <v>0</v>
      </c>
      <c r="K230" t="n">
        <v>0</v>
      </c>
      <c r="L230" t="n">
        <v>0</v>
      </c>
      <c r="M230" t="n">
        <v>0</v>
      </c>
      <c r="N230" t="n">
        <v>0</v>
      </c>
      <c r="O230" t="n">
        <v>0</v>
      </c>
      <c r="P230" t="n">
        <v>0</v>
      </c>
      <c r="Q230" t="n">
        <v>0</v>
      </c>
      <c r="R230" s="2" t="inlineStr"/>
    </row>
    <row r="231" ht="15" customHeight="1">
      <c r="A231" t="inlineStr">
        <is>
          <t>A 35752-2025</t>
        </is>
      </c>
      <c r="B231" s="1" t="n">
        <v>45860.57265046296</v>
      </c>
      <c r="C231" s="1" t="n">
        <v>45886</v>
      </c>
      <c r="D231" t="inlineStr">
        <is>
          <t>VÄSTERBOTTENS LÄN</t>
        </is>
      </c>
      <c r="E231" t="inlineStr">
        <is>
          <t>STORUMAN</t>
        </is>
      </c>
      <c r="G231" t="n">
        <v>2.6</v>
      </c>
      <c r="H231" t="n">
        <v>0</v>
      </c>
      <c r="I231" t="n">
        <v>0</v>
      </c>
      <c r="J231" t="n">
        <v>0</v>
      </c>
      <c r="K231" t="n">
        <v>0</v>
      </c>
      <c r="L231" t="n">
        <v>0</v>
      </c>
      <c r="M231" t="n">
        <v>0</v>
      </c>
      <c r="N231" t="n">
        <v>0</v>
      </c>
      <c r="O231" t="n">
        <v>0</v>
      </c>
      <c r="P231" t="n">
        <v>0</v>
      </c>
      <c r="Q231" t="n">
        <v>0</v>
      </c>
      <c r="R231" s="2" t="inlineStr"/>
    </row>
    <row r="232" ht="15" customHeight="1">
      <c r="A232" t="inlineStr">
        <is>
          <t>A 61846-2022</t>
        </is>
      </c>
      <c r="B232" s="1" t="n">
        <v>44917.60903935185</v>
      </c>
      <c r="C232" s="1" t="n">
        <v>45886</v>
      </c>
      <c r="D232" t="inlineStr">
        <is>
          <t>VÄSTERBOTTENS LÄN</t>
        </is>
      </c>
      <c r="E232" t="inlineStr">
        <is>
          <t>STORUMAN</t>
        </is>
      </c>
      <c r="F232" t="inlineStr">
        <is>
          <t>Sveaskog</t>
        </is>
      </c>
      <c r="G232" t="n">
        <v>11.2</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45886</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43227-2023</t>
        </is>
      </c>
      <c r="B234" s="1" t="n">
        <v>45180</v>
      </c>
      <c r="C234" s="1" t="n">
        <v>45886</v>
      </c>
      <c r="D234" t="inlineStr">
        <is>
          <t>VÄSTERBOTTENS LÄN</t>
        </is>
      </c>
      <c r="E234" t="inlineStr">
        <is>
          <t>STORUMAN</t>
        </is>
      </c>
      <c r="G234" t="n">
        <v>41.1</v>
      </c>
      <c r="H234" t="n">
        <v>0</v>
      </c>
      <c r="I234" t="n">
        <v>0</v>
      </c>
      <c r="J234" t="n">
        <v>0</v>
      </c>
      <c r="K234" t="n">
        <v>0</v>
      </c>
      <c r="L234" t="n">
        <v>0</v>
      </c>
      <c r="M234" t="n">
        <v>0</v>
      </c>
      <c r="N234" t="n">
        <v>0</v>
      </c>
      <c r="O234" t="n">
        <v>0</v>
      </c>
      <c r="P234" t="n">
        <v>0</v>
      </c>
      <c r="Q234" t="n">
        <v>0</v>
      </c>
      <c r="R234" s="2" t="inlineStr"/>
    </row>
    <row r="235" ht="15" customHeight="1">
      <c r="A235" t="inlineStr">
        <is>
          <t>A 37074-2023</t>
        </is>
      </c>
      <c r="B235" s="1" t="n">
        <v>45155.48350694445</v>
      </c>
      <c r="C235" s="1" t="n">
        <v>45886</v>
      </c>
      <c r="D235" t="inlineStr">
        <is>
          <t>VÄSTERBOTTENS LÄN</t>
        </is>
      </c>
      <c r="E235" t="inlineStr">
        <is>
          <t>STORUMAN</t>
        </is>
      </c>
      <c r="G235" t="n">
        <v>10.4</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45886</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50917-2022</t>
        </is>
      </c>
      <c r="B237" s="1" t="n">
        <v>44867</v>
      </c>
      <c r="C237" s="1" t="n">
        <v>45886</v>
      </c>
      <c r="D237" t="inlineStr">
        <is>
          <t>VÄSTERBOTTENS LÄN</t>
        </is>
      </c>
      <c r="E237" t="inlineStr">
        <is>
          <t>STORUMAN</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12002-2022</t>
        </is>
      </c>
      <c r="B238" s="1" t="n">
        <v>44635</v>
      </c>
      <c r="C238" s="1" t="n">
        <v>45886</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59359-2022</t>
        </is>
      </c>
      <c r="B239" s="1" t="n">
        <v>44904.92574074074</v>
      </c>
      <c r="C239" s="1" t="n">
        <v>45886</v>
      </c>
      <c r="D239" t="inlineStr">
        <is>
          <t>VÄSTERBOTTENS LÄN</t>
        </is>
      </c>
      <c r="E239" t="inlineStr">
        <is>
          <t>STORUMAN</t>
        </is>
      </c>
      <c r="G239" t="n">
        <v>3.3</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45886</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35989-2025</t>
        </is>
      </c>
      <c r="B241" s="1" t="n">
        <v>45863.46831018518</v>
      </c>
      <c r="C241" s="1" t="n">
        <v>45886</v>
      </c>
      <c r="D241" t="inlineStr">
        <is>
          <t>VÄSTERBOTTENS LÄN</t>
        </is>
      </c>
      <c r="E241" t="inlineStr">
        <is>
          <t>STORUMAN</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45886</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35992-2025</t>
        </is>
      </c>
      <c r="B243" s="1" t="n">
        <v>45863.4765162037</v>
      </c>
      <c r="C243" s="1" t="n">
        <v>45886</v>
      </c>
      <c r="D243" t="inlineStr">
        <is>
          <t>VÄSTERBOTTENS LÄN</t>
        </is>
      </c>
      <c r="E243" t="inlineStr">
        <is>
          <t>STORUMAN</t>
        </is>
      </c>
      <c r="F243" t="inlineStr">
        <is>
          <t>Holmen skog AB</t>
        </is>
      </c>
      <c r="G243" t="n">
        <v>8.4</v>
      </c>
      <c r="H243" t="n">
        <v>0</v>
      </c>
      <c r="I243" t="n">
        <v>0</v>
      </c>
      <c r="J243" t="n">
        <v>0</v>
      </c>
      <c r="K243" t="n">
        <v>0</v>
      </c>
      <c r="L243" t="n">
        <v>0</v>
      </c>
      <c r="M243" t="n">
        <v>0</v>
      </c>
      <c r="N243" t="n">
        <v>0</v>
      </c>
      <c r="O243" t="n">
        <v>0</v>
      </c>
      <c r="P243" t="n">
        <v>0</v>
      </c>
      <c r="Q243" t="n">
        <v>0</v>
      </c>
      <c r="R243" s="2" t="inlineStr"/>
    </row>
    <row r="244" ht="15" customHeight="1">
      <c r="A244" t="inlineStr">
        <is>
          <t>A 41854-2024</t>
        </is>
      </c>
      <c r="B244" s="1" t="n">
        <v>45561.44042824074</v>
      </c>
      <c r="C244" s="1" t="n">
        <v>45886</v>
      </c>
      <c r="D244" t="inlineStr">
        <is>
          <t>VÄSTERBOTTENS LÄN</t>
        </is>
      </c>
      <c r="E244" t="inlineStr">
        <is>
          <t>STORUMAN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29801-2025</t>
        </is>
      </c>
      <c r="B245" s="1" t="n">
        <v>45825.69819444444</v>
      </c>
      <c r="C245" s="1" t="n">
        <v>45886</v>
      </c>
      <c r="D245" t="inlineStr">
        <is>
          <t>VÄSTERBOTTENS LÄN</t>
        </is>
      </c>
      <c r="E245" t="inlineStr">
        <is>
          <t>STORUMAN</t>
        </is>
      </c>
      <c r="G245" t="n">
        <v>21.2</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45886</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46072-2022</t>
        </is>
      </c>
      <c r="B247" s="1" t="n">
        <v>44844</v>
      </c>
      <c r="C247" s="1" t="n">
        <v>45886</v>
      </c>
      <c r="D247" t="inlineStr">
        <is>
          <t>VÄSTERBOTTENS LÄN</t>
        </is>
      </c>
      <c r="E247" t="inlineStr">
        <is>
          <t>STORUMAN</t>
        </is>
      </c>
      <c r="G247" t="n">
        <v>8.4</v>
      </c>
      <c r="H247" t="n">
        <v>0</v>
      </c>
      <c r="I247" t="n">
        <v>0</v>
      </c>
      <c r="J247" t="n">
        <v>0</v>
      </c>
      <c r="K247" t="n">
        <v>0</v>
      </c>
      <c r="L247" t="n">
        <v>0</v>
      </c>
      <c r="M247" t="n">
        <v>0</v>
      </c>
      <c r="N247" t="n">
        <v>0</v>
      </c>
      <c r="O247" t="n">
        <v>0</v>
      </c>
      <c r="P247" t="n">
        <v>0</v>
      </c>
      <c r="Q247" t="n">
        <v>0</v>
      </c>
      <c r="R247" s="2" t="inlineStr"/>
    </row>
    <row r="248" ht="15" customHeight="1">
      <c r="A248" t="inlineStr">
        <is>
          <t>A 46080-2022</t>
        </is>
      </c>
      <c r="B248" s="1" t="n">
        <v>44845</v>
      </c>
      <c r="C248" s="1" t="n">
        <v>45886</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14661-2023</t>
        </is>
      </c>
      <c r="B249" s="1" t="n">
        <v>45013</v>
      </c>
      <c r="C249" s="1" t="n">
        <v>45886</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43840-2024</t>
        </is>
      </c>
      <c r="B250" s="1" t="n">
        <v>45572.34314814815</v>
      </c>
      <c r="C250" s="1" t="n">
        <v>45886</v>
      </c>
      <c r="D250" t="inlineStr">
        <is>
          <t>VÄSTERBOTTENS LÄN</t>
        </is>
      </c>
      <c r="E250" t="inlineStr">
        <is>
          <t>STORUMAN</t>
        </is>
      </c>
      <c r="G250" t="n">
        <v>7.2</v>
      </c>
      <c r="H250" t="n">
        <v>0</v>
      </c>
      <c r="I250" t="n">
        <v>0</v>
      </c>
      <c r="J250" t="n">
        <v>0</v>
      </c>
      <c r="K250" t="n">
        <v>0</v>
      </c>
      <c r="L250" t="n">
        <v>0</v>
      </c>
      <c r="M250" t="n">
        <v>0</v>
      </c>
      <c r="N250" t="n">
        <v>0</v>
      </c>
      <c r="O250" t="n">
        <v>0</v>
      </c>
      <c r="P250" t="n">
        <v>0</v>
      </c>
      <c r="Q250" t="n">
        <v>0</v>
      </c>
      <c r="R250" s="2" t="inlineStr"/>
    </row>
    <row r="251" ht="15" customHeight="1">
      <c r="A251" t="inlineStr">
        <is>
          <t>A 36942-2025</t>
        </is>
      </c>
      <c r="B251" s="1" t="n">
        <v>45874.59280092592</v>
      </c>
      <c r="C251" s="1" t="n">
        <v>45886</v>
      </c>
      <c r="D251" t="inlineStr">
        <is>
          <t>VÄSTERBOTTENS LÄN</t>
        </is>
      </c>
      <c r="E251" t="inlineStr">
        <is>
          <t>STORUMAN</t>
        </is>
      </c>
      <c r="G251" t="n">
        <v>14.4</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45886</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36828-2025</t>
        </is>
      </c>
      <c r="B253" s="1" t="n">
        <v>45874.33908564815</v>
      </c>
      <c r="C253" s="1" t="n">
        <v>45886</v>
      </c>
      <c r="D253" t="inlineStr">
        <is>
          <t>VÄSTERBOTTENS LÄN</t>
        </is>
      </c>
      <c r="E253" t="inlineStr">
        <is>
          <t>STORUMAN</t>
        </is>
      </c>
      <c r="G253" t="n">
        <v>5.1</v>
      </c>
      <c r="H253" t="n">
        <v>0</v>
      </c>
      <c r="I253" t="n">
        <v>0</v>
      </c>
      <c r="J253" t="n">
        <v>0</v>
      </c>
      <c r="K253" t="n">
        <v>0</v>
      </c>
      <c r="L253" t="n">
        <v>0</v>
      </c>
      <c r="M253" t="n">
        <v>0</v>
      </c>
      <c r="N253" t="n">
        <v>0</v>
      </c>
      <c r="O253" t="n">
        <v>0</v>
      </c>
      <c r="P253" t="n">
        <v>0</v>
      </c>
      <c r="Q253" t="n">
        <v>0</v>
      </c>
      <c r="R253" s="2" t="inlineStr"/>
    </row>
    <row r="254" ht="15" customHeight="1">
      <c r="A254" t="inlineStr">
        <is>
          <t>A 28713-2022</t>
        </is>
      </c>
      <c r="B254" s="1" t="n">
        <v>44748</v>
      </c>
      <c r="C254" s="1" t="n">
        <v>45886</v>
      </c>
      <c r="D254" t="inlineStr">
        <is>
          <t>VÄSTERBOTTENS LÄN</t>
        </is>
      </c>
      <c r="E254" t="inlineStr">
        <is>
          <t>STORUMAN</t>
        </is>
      </c>
      <c r="G254" t="n">
        <v>14.9</v>
      </c>
      <c r="H254" t="n">
        <v>0</v>
      </c>
      <c r="I254" t="n">
        <v>0</v>
      </c>
      <c r="J254" t="n">
        <v>0</v>
      </c>
      <c r="K254" t="n">
        <v>0</v>
      </c>
      <c r="L254" t="n">
        <v>0</v>
      </c>
      <c r="M254" t="n">
        <v>0</v>
      </c>
      <c r="N254" t="n">
        <v>0</v>
      </c>
      <c r="O254" t="n">
        <v>0</v>
      </c>
      <c r="P254" t="n">
        <v>0</v>
      </c>
      <c r="Q254" t="n">
        <v>0</v>
      </c>
      <c r="R254" s="2" t="inlineStr"/>
    </row>
    <row r="255" ht="15" customHeight="1">
      <c r="A255" t="inlineStr">
        <is>
          <t>A 1220-2024</t>
        </is>
      </c>
      <c r="B255" s="1" t="n">
        <v>45302</v>
      </c>
      <c r="C255" s="1" t="n">
        <v>45886</v>
      </c>
      <c r="D255" t="inlineStr">
        <is>
          <t>VÄSTERBOTTENS LÄN</t>
        </is>
      </c>
      <c r="E255" t="inlineStr">
        <is>
          <t>STORUMAN</t>
        </is>
      </c>
      <c r="G255" t="n">
        <v>0.9</v>
      </c>
      <c r="H255" t="n">
        <v>0</v>
      </c>
      <c r="I255" t="n">
        <v>0</v>
      </c>
      <c r="J255" t="n">
        <v>0</v>
      </c>
      <c r="K255" t="n">
        <v>0</v>
      </c>
      <c r="L255" t="n">
        <v>0</v>
      </c>
      <c r="M255" t="n">
        <v>0</v>
      </c>
      <c r="N255" t="n">
        <v>0</v>
      </c>
      <c r="O255" t="n">
        <v>0</v>
      </c>
      <c r="P255" t="n">
        <v>0</v>
      </c>
      <c r="Q255" t="n">
        <v>0</v>
      </c>
      <c r="R255" s="2" t="inlineStr"/>
    </row>
    <row r="256" ht="15" customHeight="1">
      <c r="A256" t="inlineStr">
        <is>
          <t>A 36951-2025</t>
        </is>
      </c>
      <c r="B256" s="1" t="n">
        <v>45874.60371527778</v>
      </c>
      <c r="C256" s="1" t="n">
        <v>45886</v>
      </c>
      <c r="D256" t="inlineStr">
        <is>
          <t>VÄSTERBOTTENS LÄN</t>
        </is>
      </c>
      <c r="E256" t="inlineStr">
        <is>
          <t>STORUMAN</t>
        </is>
      </c>
      <c r="G256" t="n">
        <v>6.5</v>
      </c>
      <c r="H256" t="n">
        <v>0</v>
      </c>
      <c r="I256" t="n">
        <v>0</v>
      </c>
      <c r="J256" t="n">
        <v>0</v>
      </c>
      <c r="K256" t="n">
        <v>0</v>
      </c>
      <c r="L256" t="n">
        <v>0</v>
      </c>
      <c r="M256" t="n">
        <v>0</v>
      </c>
      <c r="N256" t="n">
        <v>0</v>
      </c>
      <c r="O256" t="n">
        <v>0</v>
      </c>
      <c r="P256" t="n">
        <v>0</v>
      </c>
      <c r="Q256" t="n">
        <v>0</v>
      </c>
      <c r="R256" s="2" t="inlineStr"/>
    </row>
    <row r="257" ht="15" customHeight="1">
      <c r="A257" t="inlineStr">
        <is>
          <t>A 43922-2020</t>
        </is>
      </c>
      <c r="B257" s="1" t="n">
        <v>44078</v>
      </c>
      <c r="C257" s="1" t="n">
        <v>45886</v>
      </c>
      <c r="D257" t="inlineStr">
        <is>
          <t>VÄSTERBOTTENS LÄN</t>
        </is>
      </c>
      <c r="E257" t="inlineStr">
        <is>
          <t>STORUMAN</t>
        </is>
      </c>
      <c r="F257" t="inlineStr">
        <is>
          <t>Allmännings- och besparingsskogar</t>
        </is>
      </c>
      <c r="G257" t="n">
        <v>49.7</v>
      </c>
      <c r="H257" t="n">
        <v>0</v>
      </c>
      <c r="I257" t="n">
        <v>0</v>
      </c>
      <c r="J257" t="n">
        <v>0</v>
      </c>
      <c r="K257" t="n">
        <v>0</v>
      </c>
      <c r="L257" t="n">
        <v>0</v>
      </c>
      <c r="M257" t="n">
        <v>0</v>
      </c>
      <c r="N257" t="n">
        <v>0</v>
      </c>
      <c r="O257" t="n">
        <v>0</v>
      </c>
      <c r="P257" t="n">
        <v>0</v>
      </c>
      <c r="Q257" t="n">
        <v>0</v>
      </c>
      <c r="R257" s="2" t="inlineStr"/>
    </row>
    <row r="258" ht="15" customHeight="1">
      <c r="A258" t="inlineStr">
        <is>
          <t>A 14956-2023</t>
        </is>
      </c>
      <c r="B258" s="1" t="n">
        <v>45014</v>
      </c>
      <c r="C258" s="1" t="n">
        <v>45886</v>
      </c>
      <c r="D258" t="inlineStr">
        <is>
          <t>VÄSTERBOTTENS LÄN</t>
        </is>
      </c>
      <c r="E258" t="inlineStr">
        <is>
          <t>STORUMAN</t>
        </is>
      </c>
      <c r="G258" t="n">
        <v>0.8</v>
      </c>
      <c r="H258" t="n">
        <v>0</v>
      </c>
      <c r="I258" t="n">
        <v>0</v>
      </c>
      <c r="J258" t="n">
        <v>0</v>
      </c>
      <c r="K258" t="n">
        <v>0</v>
      </c>
      <c r="L258" t="n">
        <v>0</v>
      </c>
      <c r="M258" t="n">
        <v>0</v>
      </c>
      <c r="N258" t="n">
        <v>0</v>
      </c>
      <c r="O258" t="n">
        <v>0</v>
      </c>
      <c r="P258" t="n">
        <v>0</v>
      </c>
      <c r="Q258" t="n">
        <v>0</v>
      </c>
      <c r="R258" s="2" t="inlineStr"/>
    </row>
    <row r="259" ht="15" customHeight="1">
      <c r="A259" t="inlineStr">
        <is>
          <t>A 57769-2023</t>
        </is>
      </c>
      <c r="B259" s="1" t="n">
        <v>45246.9253587963</v>
      </c>
      <c r="C259" s="1" t="n">
        <v>45886</v>
      </c>
      <c r="D259" t="inlineStr">
        <is>
          <t>VÄSTERBOTTENS LÄN</t>
        </is>
      </c>
      <c r="E259" t="inlineStr">
        <is>
          <t>STORUMAN</t>
        </is>
      </c>
      <c r="G259" t="n">
        <v>1.5</v>
      </c>
      <c r="H259" t="n">
        <v>0</v>
      </c>
      <c r="I259" t="n">
        <v>0</v>
      </c>
      <c r="J259" t="n">
        <v>0</v>
      </c>
      <c r="K259" t="n">
        <v>0</v>
      </c>
      <c r="L259" t="n">
        <v>0</v>
      </c>
      <c r="M259" t="n">
        <v>0</v>
      </c>
      <c r="N259" t="n">
        <v>0</v>
      </c>
      <c r="O259" t="n">
        <v>0</v>
      </c>
      <c r="P259" t="n">
        <v>0</v>
      </c>
      <c r="Q259" t="n">
        <v>0</v>
      </c>
      <c r="R259" s="2" t="inlineStr"/>
    </row>
    <row r="260" ht="15" customHeight="1">
      <c r="A260" t="inlineStr">
        <is>
          <t>A 8860-2024</t>
        </is>
      </c>
      <c r="B260" s="1" t="n">
        <v>45356</v>
      </c>
      <c r="C260" s="1" t="n">
        <v>45886</v>
      </c>
      <c r="D260" t="inlineStr">
        <is>
          <t>VÄSTERBOTTENS LÄN</t>
        </is>
      </c>
      <c r="E260" t="inlineStr">
        <is>
          <t>STORUMAN</t>
        </is>
      </c>
      <c r="G260" t="n">
        <v>3.1</v>
      </c>
      <c r="H260" t="n">
        <v>0</v>
      </c>
      <c r="I260" t="n">
        <v>0</v>
      </c>
      <c r="J260" t="n">
        <v>0</v>
      </c>
      <c r="K260" t="n">
        <v>0</v>
      </c>
      <c r="L260" t="n">
        <v>0</v>
      </c>
      <c r="M260" t="n">
        <v>0</v>
      </c>
      <c r="N260" t="n">
        <v>0</v>
      </c>
      <c r="O260" t="n">
        <v>0</v>
      </c>
      <c r="P260" t="n">
        <v>0</v>
      </c>
      <c r="Q260" t="n">
        <v>0</v>
      </c>
      <c r="R260" s="2" t="inlineStr"/>
    </row>
    <row r="261" ht="15" customHeight="1">
      <c r="A261" t="inlineStr">
        <is>
          <t>A 2193-2024</t>
        </is>
      </c>
      <c r="B261" s="1" t="n">
        <v>45309</v>
      </c>
      <c r="C261" s="1" t="n">
        <v>45886</v>
      </c>
      <c r="D261" t="inlineStr">
        <is>
          <t>VÄSTERBOTTENS LÄN</t>
        </is>
      </c>
      <c r="E261" t="inlineStr">
        <is>
          <t>STORUMAN</t>
        </is>
      </c>
      <c r="G261" t="n">
        <v>3.4</v>
      </c>
      <c r="H261" t="n">
        <v>0</v>
      </c>
      <c r="I261" t="n">
        <v>0</v>
      </c>
      <c r="J261" t="n">
        <v>0</v>
      </c>
      <c r="K261" t="n">
        <v>0</v>
      </c>
      <c r="L261" t="n">
        <v>0</v>
      </c>
      <c r="M261" t="n">
        <v>0</v>
      </c>
      <c r="N261" t="n">
        <v>0</v>
      </c>
      <c r="O261" t="n">
        <v>0</v>
      </c>
      <c r="P261" t="n">
        <v>0</v>
      </c>
      <c r="Q261" t="n">
        <v>0</v>
      </c>
      <c r="R261" s="2" t="inlineStr"/>
    </row>
    <row r="262" ht="15" customHeight="1">
      <c r="A262" t="inlineStr">
        <is>
          <t>A 30745-2024</t>
        </is>
      </c>
      <c r="B262" s="1" t="n">
        <v>45496</v>
      </c>
      <c r="C262" s="1" t="n">
        <v>45886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32196-2025</t>
        </is>
      </c>
      <c r="B263" s="1" t="n">
        <v>45835.57523148148</v>
      </c>
      <c r="C263" s="1" t="n">
        <v>45886</v>
      </c>
      <c r="D263" t="inlineStr">
        <is>
          <t>VÄSTERBOTTENS LÄN</t>
        </is>
      </c>
      <c r="E263" t="inlineStr">
        <is>
          <t>STORUMAN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32202-2025</t>
        </is>
      </c>
      <c r="B264" s="1" t="n">
        <v>45835.57872685185</v>
      </c>
      <c r="C264" s="1" t="n">
        <v>45886</v>
      </c>
      <c r="D264" t="inlineStr">
        <is>
          <t>VÄSTERBOTTENS LÄN</t>
        </is>
      </c>
      <c r="E264" t="inlineStr">
        <is>
          <t>STORUMAN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2194-2024</t>
        </is>
      </c>
      <c r="B265" s="1" t="n">
        <v>45309</v>
      </c>
      <c r="C265" s="1" t="n">
        <v>45886</v>
      </c>
      <c r="D265" t="inlineStr">
        <is>
          <t>VÄSTERBOTTENS LÄN</t>
        </is>
      </c>
      <c r="E265" t="inlineStr">
        <is>
          <t>STORUMAN</t>
        </is>
      </c>
      <c r="G265" t="n">
        <v>0.9</v>
      </c>
      <c r="H265" t="n">
        <v>0</v>
      </c>
      <c r="I265" t="n">
        <v>0</v>
      </c>
      <c r="J265" t="n">
        <v>0</v>
      </c>
      <c r="K265" t="n">
        <v>0</v>
      </c>
      <c r="L265" t="n">
        <v>0</v>
      </c>
      <c r="M265" t="n">
        <v>0</v>
      </c>
      <c r="N265" t="n">
        <v>0</v>
      </c>
      <c r="O265" t="n">
        <v>0</v>
      </c>
      <c r="P265" t="n">
        <v>0</v>
      </c>
      <c r="Q265" t="n">
        <v>0</v>
      </c>
      <c r="R265" s="2" t="inlineStr"/>
    </row>
    <row r="266" ht="15" customHeight="1">
      <c r="A266" t="inlineStr">
        <is>
          <t>A 46065-2022</t>
        </is>
      </c>
      <c r="B266" s="1" t="n">
        <v>44844</v>
      </c>
      <c r="C266" s="1" t="n">
        <v>45886</v>
      </c>
      <c r="D266" t="inlineStr">
        <is>
          <t>VÄSTERBOTTENS LÄN</t>
        </is>
      </c>
      <c r="E266" t="inlineStr">
        <is>
          <t>STORUMAN</t>
        </is>
      </c>
      <c r="G266" t="n">
        <v>4.2</v>
      </c>
      <c r="H266" t="n">
        <v>0</v>
      </c>
      <c r="I266" t="n">
        <v>0</v>
      </c>
      <c r="J266" t="n">
        <v>0</v>
      </c>
      <c r="K266" t="n">
        <v>0</v>
      </c>
      <c r="L266" t="n">
        <v>0</v>
      </c>
      <c r="M266" t="n">
        <v>0</v>
      </c>
      <c r="N266" t="n">
        <v>0</v>
      </c>
      <c r="O266" t="n">
        <v>0</v>
      </c>
      <c r="P266" t="n">
        <v>0</v>
      </c>
      <c r="Q266" t="n">
        <v>0</v>
      </c>
      <c r="R266" s="2" t="inlineStr"/>
    </row>
    <row r="267" ht="15" customHeight="1">
      <c r="A267" t="inlineStr">
        <is>
          <t>A 35711-2025</t>
        </is>
      </c>
      <c r="B267" s="1" t="n">
        <v>45860</v>
      </c>
      <c r="C267" s="1" t="n">
        <v>45886</v>
      </c>
      <c r="D267" t="inlineStr">
        <is>
          <t>VÄSTERBOTTENS LÄN</t>
        </is>
      </c>
      <c r="E267" t="inlineStr">
        <is>
          <t>STORUMAN</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33731-2024</t>
        </is>
      </c>
      <c r="B268" s="1" t="n">
        <v>45520.54680555555</v>
      </c>
      <c r="C268" s="1" t="n">
        <v>45886</v>
      </c>
      <c r="D268" t="inlineStr">
        <is>
          <t>VÄSTERBOTTENS LÄN</t>
        </is>
      </c>
      <c r="E268" t="inlineStr">
        <is>
          <t>STORUMAN</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11381-2025</t>
        </is>
      </c>
      <c r="B269" s="1" t="n">
        <v>45724</v>
      </c>
      <c r="C269" s="1" t="n">
        <v>45886</v>
      </c>
      <c r="D269" t="inlineStr">
        <is>
          <t>VÄSTERBOTTENS LÄN</t>
        </is>
      </c>
      <c r="E269" t="inlineStr">
        <is>
          <t>STORUMAN</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35514-2025</t>
        </is>
      </c>
      <c r="B270" s="1" t="n">
        <v>45856.3653125</v>
      </c>
      <c r="C270" s="1" t="n">
        <v>45886</v>
      </c>
      <c r="D270" t="inlineStr">
        <is>
          <t>VÄSTERBOTTENS LÄN</t>
        </is>
      </c>
      <c r="E270" t="inlineStr">
        <is>
          <t>STORUMAN</t>
        </is>
      </c>
      <c r="G270" t="n">
        <v>1.4</v>
      </c>
      <c r="H270" t="n">
        <v>0</v>
      </c>
      <c r="I270" t="n">
        <v>0</v>
      </c>
      <c r="J270" t="n">
        <v>0</v>
      </c>
      <c r="K270" t="n">
        <v>0</v>
      </c>
      <c r="L270" t="n">
        <v>0</v>
      </c>
      <c r="M270" t="n">
        <v>0</v>
      </c>
      <c r="N270" t="n">
        <v>0</v>
      </c>
      <c r="O270" t="n">
        <v>0</v>
      </c>
      <c r="P270" t="n">
        <v>0</v>
      </c>
      <c r="Q270" t="n">
        <v>0</v>
      </c>
      <c r="R270" s="2" t="inlineStr"/>
    </row>
    <row r="271" ht="15" customHeight="1">
      <c r="A271" t="inlineStr">
        <is>
          <t>A 33879-2024</t>
        </is>
      </c>
      <c r="B271" s="1" t="n">
        <v>45522.50731481481</v>
      </c>
      <c r="C271" s="1" t="n">
        <v>45886</v>
      </c>
      <c r="D271" t="inlineStr">
        <is>
          <t>VÄSTERBOTTENS LÄN</t>
        </is>
      </c>
      <c r="E271" t="inlineStr">
        <is>
          <t>STORUMAN</t>
        </is>
      </c>
      <c r="F271" t="inlineStr">
        <is>
          <t>Holmen skog AB</t>
        </is>
      </c>
      <c r="G271" t="n">
        <v>1</v>
      </c>
      <c r="H271" t="n">
        <v>0</v>
      </c>
      <c r="I271" t="n">
        <v>0</v>
      </c>
      <c r="J271" t="n">
        <v>0</v>
      </c>
      <c r="K271" t="n">
        <v>0</v>
      </c>
      <c r="L271" t="n">
        <v>0</v>
      </c>
      <c r="M271" t="n">
        <v>0</v>
      </c>
      <c r="N271" t="n">
        <v>0</v>
      </c>
      <c r="O271" t="n">
        <v>0</v>
      </c>
      <c r="P271" t="n">
        <v>0</v>
      </c>
      <c r="Q271" t="n">
        <v>0</v>
      </c>
      <c r="R271" s="2" t="inlineStr"/>
    </row>
    <row r="272" ht="15" customHeight="1">
      <c r="A272" t="inlineStr">
        <is>
          <t>A 36708-2025</t>
        </is>
      </c>
      <c r="B272" s="1" t="n">
        <v>45873.46269675926</v>
      </c>
      <c r="C272" s="1" t="n">
        <v>45886</v>
      </c>
      <c r="D272" t="inlineStr">
        <is>
          <t>VÄSTERBOTTENS LÄN</t>
        </is>
      </c>
      <c r="E272" t="inlineStr">
        <is>
          <t>STORUMAN</t>
        </is>
      </c>
      <c r="G272" t="n">
        <v>8.1</v>
      </c>
      <c r="H272" t="n">
        <v>0</v>
      </c>
      <c r="I272" t="n">
        <v>0</v>
      </c>
      <c r="J272" t="n">
        <v>0</v>
      </c>
      <c r="K272" t="n">
        <v>0</v>
      </c>
      <c r="L272" t="n">
        <v>0</v>
      </c>
      <c r="M272" t="n">
        <v>0</v>
      </c>
      <c r="N272" t="n">
        <v>0</v>
      </c>
      <c r="O272" t="n">
        <v>0</v>
      </c>
      <c r="P272" t="n">
        <v>0</v>
      </c>
      <c r="Q272" t="n">
        <v>0</v>
      </c>
      <c r="R272" s="2" t="inlineStr"/>
    </row>
    <row r="273" ht="15" customHeight="1">
      <c r="A273" t="inlineStr">
        <is>
          <t>A 36730-2025</t>
        </is>
      </c>
      <c r="B273" s="1" t="n">
        <v>45873.49789351852</v>
      </c>
      <c r="C273" s="1" t="n">
        <v>45886</v>
      </c>
      <c r="D273" t="inlineStr">
        <is>
          <t>VÄSTERBOTTENS LÄN</t>
        </is>
      </c>
      <c r="E273" t="inlineStr">
        <is>
          <t>STORUMAN</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32927-2025</t>
        </is>
      </c>
      <c r="B274" s="1" t="n">
        <v>45839.66170138889</v>
      </c>
      <c r="C274" s="1" t="n">
        <v>45886</v>
      </c>
      <c r="D274" t="inlineStr">
        <is>
          <t>VÄSTERBOTTENS LÄN</t>
        </is>
      </c>
      <c r="E274" t="inlineStr">
        <is>
          <t>STORUMAN</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16520-2022</t>
        </is>
      </c>
      <c r="B275" s="1" t="n">
        <v>44671</v>
      </c>
      <c r="C275" s="1" t="n">
        <v>45886</v>
      </c>
      <c r="D275" t="inlineStr">
        <is>
          <t>VÄSTERBOTTENS LÄN</t>
        </is>
      </c>
      <c r="E275" t="inlineStr">
        <is>
          <t>STORUMAN</t>
        </is>
      </c>
      <c r="G275" t="n">
        <v>20.1</v>
      </c>
      <c r="H275" t="n">
        <v>0</v>
      </c>
      <c r="I275" t="n">
        <v>0</v>
      </c>
      <c r="J275" t="n">
        <v>0</v>
      </c>
      <c r="K275" t="n">
        <v>0</v>
      </c>
      <c r="L275" t="n">
        <v>0</v>
      </c>
      <c r="M275" t="n">
        <v>0</v>
      </c>
      <c r="N275" t="n">
        <v>0</v>
      </c>
      <c r="O275" t="n">
        <v>0</v>
      </c>
      <c r="P275" t="n">
        <v>0</v>
      </c>
      <c r="Q275" t="n">
        <v>0</v>
      </c>
      <c r="R275" s="2" t="inlineStr"/>
    </row>
    <row r="276" ht="15" customHeight="1">
      <c r="A276" t="inlineStr">
        <is>
          <t>A 58918-2024</t>
        </is>
      </c>
      <c r="B276" s="1" t="n">
        <v>45635</v>
      </c>
      <c r="C276" s="1" t="n">
        <v>45886</v>
      </c>
      <c r="D276" t="inlineStr">
        <is>
          <t>VÄSTERBOTTENS LÄN</t>
        </is>
      </c>
      <c r="E276" t="inlineStr">
        <is>
          <t>STORUMAN</t>
        </is>
      </c>
      <c r="F276" t="inlineStr">
        <is>
          <t>Allmännings- och besparingsskogar</t>
        </is>
      </c>
      <c r="G276" t="n">
        <v>75.59999999999999</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45886</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45886</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45886</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53148-2024</t>
        </is>
      </c>
      <c r="B280" s="1" t="n">
        <v>45611</v>
      </c>
      <c r="C280" s="1" t="n">
        <v>45886</v>
      </c>
      <c r="D280" t="inlineStr">
        <is>
          <t>VÄSTERBOTTENS LÄN</t>
        </is>
      </c>
      <c r="E280" t="inlineStr">
        <is>
          <t>STORUMAN</t>
        </is>
      </c>
      <c r="F280" t="inlineStr">
        <is>
          <t>Allmännings- och besparingsskogar</t>
        </is>
      </c>
      <c r="G280" t="n">
        <v>117.5</v>
      </c>
      <c r="H280" t="n">
        <v>0</v>
      </c>
      <c r="I280" t="n">
        <v>0</v>
      </c>
      <c r="J280" t="n">
        <v>0</v>
      </c>
      <c r="K280" t="n">
        <v>0</v>
      </c>
      <c r="L280" t="n">
        <v>0</v>
      </c>
      <c r="M280" t="n">
        <v>0</v>
      </c>
      <c r="N280" t="n">
        <v>0</v>
      </c>
      <c r="O280" t="n">
        <v>0</v>
      </c>
      <c r="P280" t="n">
        <v>0</v>
      </c>
      <c r="Q280" t="n">
        <v>0</v>
      </c>
      <c r="R280" s="2" t="inlineStr"/>
    </row>
    <row r="281" ht="15" customHeight="1">
      <c r="A281" t="inlineStr">
        <is>
          <t>A 6544-2025</t>
        </is>
      </c>
      <c r="B281" s="1" t="n">
        <v>45699</v>
      </c>
      <c r="C281" s="1" t="n">
        <v>45886</v>
      </c>
      <c r="D281" t="inlineStr">
        <is>
          <t>VÄSTERBOTTENS LÄN</t>
        </is>
      </c>
      <c r="E281" t="inlineStr">
        <is>
          <t>STORUMAN</t>
        </is>
      </c>
      <c r="G281" t="n">
        <v>78</v>
      </c>
      <c r="H281" t="n">
        <v>0</v>
      </c>
      <c r="I281" t="n">
        <v>0</v>
      </c>
      <c r="J281" t="n">
        <v>0</v>
      </c>
      <c r="K281" t="n">
        <v>0</v>
      </c>
      <c r="L281" t="n">
        <v>0</v>
      </c>
      <c r="M281" t="n">
        <v>0</v>
      </c>
      <c r="N281" t="n">
        <v>0</v>
      </c>
      <c r="O281" t="n">
        <v>0</v>
      </c>
      <c r="P281" t="n">
        <v>0</v>
      </c>
      <c r="Q281" t="n">
        <v>0</v>
      </c>
      <c r="R281" s="2" t="inlineStr"/>
    </row>
    <row r="282" ht="15" customHeight="1">
      <c r="A282" t="inlineStr">
        <is>
          <t>A 17971-2025</t>
        </is>
      </c>
      <c r="B282" s="1" t="n">
        <v>45761</v>
      </c>
      <c r="C282" s="1" t="n">
        <v>45886</v>
      </c>
      <c r="D282" t="inlineStr">
        <is>
          <t>VÄSTERBOTTENS LÄN</t>
        </is>
      </c>
      <c r="E282" t="inlineStr">
        <is>
          <t>STORUMAN</t>
        </is>
      </c>
      <c r="F282" t="inlineStr">
        <is>
          <t>Allmännings- och besparingsskogar</t>
        </is>
      </c>
      <c r="G282" t="n">
        <v>0.2</v>
      </c>
      <c r="H282" t="n">
        <v>0</v>
      </c>
      <c r="I282" t="n">
        <v>0</v>
      </c>
      <c r="J282" t="n">
        <v>0</v>
      </c>
      <c r="K282" t="n">
        <v>0</v>
      </c>
      <c r="L282" t="n">
        <v>0</v>
      </c>
      <c r="M282" t="n">
        <v>0</v>
      </c>
      <c r="N282" t="n">
        <v>0</v>
      </c>
      <c r="O282" t="n">
        <v>0</v>
      </c>
      <c r="P282" t="n">
        <v>0</v>
      </c>
      <c r="Q282" t="n">
        <v>0</v>
      </c>
      <c r="R282" s="2" t="inlineStr"/>
    </row>
    <row r="283" ht="15" customHeight="1">
      <c r="A283" t="inlineStr">
        <is>
          <t>A 33881-2025</t>
        </is>
      </c>
      <c r="B283" s="1" t="n">
        <v>45842.5657175926</v>
      </c>
      <c r="C283" s="1" t="n">
        <v>45886</v>
      </c>
      <c r="D283" t="inlineStr">
        <is>
          <t>VÄSTERBOTTENS LÄN</t>
        </is>
      </c>
      <c r="E283" t="inlineStr">
        <is>
          <t>STORUMAN</t>
        </is>
      </c>
      <c r="F283" t="inlineStr">
        <is>
          <t>Sveaskog</t>
        </is>
      </c>
      <c r="G283" t="n">
        <v>12.9</v>
      </c>
      <c r="H283" t="n">
        <v>0</v>
      </c>
      <c r="I283" t="n">
        <v>0</v>
      </c>
      <c r="J283" t="n">
        <v>0</v>
      </c>
      <c r="K283" t="n">
        <v>0</v>
      </c>
      <c r="L283" t="n">
        <v>0</v>
      </c>
      <c r="M283" t="n">
        <v>0</v>
      </c>
      <c r="N283" t="n">
        <v>0</v>
      </c>
      <c r="O283" t="n">
        <v>0</v>
      </c>
      <c r="P283" t="n">
        <v>0</v>
      </c>
      <c r="Q283" t="n">
        <v>0</v>
      </c>
      <c r="R283" s="2" t="inlineStr"/>
    </row>
    <row r="284" ht="15" customHeight="1">
      <c r="A284" t="inlineStr">
        <is>
          <t>A 48761-2024</t>
        </is>
      </c>
      <c r="B284" s="1" t="n">
        <v>45593</v>
      </c>
      <c r="C284" s="1" t="n">
        <v>45886</v>
      </c>
      <c r="D284" t="inlineStr">
        <is>
          <t>VÄSTERBOTTENS LÄN</t>
        </is>
      </c>
      <c r="E284" t="inlineStr">
        <is>
          <t>STORUMAN</t>
        </is>
      </c>
      <c r="G284" t="n">
        <v>35.7</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45886</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56879-2021</t>
        </is>
      </c>
      <c r="B286" s="1" t="n">
        <v>44481</v>
      </c>
      <c r="C286" s="1" t="n">
        <v>45886</v>
      </c>
      <c r="D286" t="inlineStr">
        <is>
          <t>VÄSTERBOTTENS LÄN</t>
        </is>
      </c>
      <c r="E286" t="inlineStr">
        <is>
          <t>STORUMAN</t>
        </is>
      </c>
      <c r="G286" t="n">
        <v>32.2</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45886</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45886</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13931-2024</t>
        </is>
      </c>
      <c r="B289" s="1" t="n">
        <v>45391</v>
      </c>
      <c r="C289" s="1" t="n">
        <v>45886</v>
      </c>
      <c r="D289" t="inlineStr">
        <is>
          <t>VÄSTERBOTTENS LÄN</t>
        </is>
      </c>
      <c r="E289" t="inlineStr">
        <is>
          <t>STORUMAN</t>
        </is>
      </c>
      <c r="G289" t="n">
        <v>13.8</v>
      </c>
      <c r="H289" t="n">
        <v>0</v>
      </c>
      <c r="I289" t="n">
        <v>0</v>
      </c>
      <c r="J289" t="n">
        <v>0</v>
      </c>
      <c r="K289" t="n">
        <v>0</v>
      </c>
      <c r="L289" t="n">
        <v>0</v>
      </c>
      <c r="M289" t="n">
        <v>0</v>
      </c>
      <c r="N289" t="n">
        <v>0</v>
      </c>
      <c r="O289" t="n">
        <v>0</v>
      </c>
      <c r="P289" t="n">
        <v>0</v>
      </c>
      <c r="Q289" t="n">
        <v>0</v>
      </c>
      <c r="R289" s="2" t="inlineStr"/>
    </row>
    <row r="290" ht="15" customHeight="1">
      <c r="A290" t="inlineStr">
        <is>
          <t>A 43345-2023</t>
        </is>
      </c>
      <c r="B290" s="1" t="n">
        <v>45181</v>
      </c>
      <c r="C290" s="1" t="n">
        <v>45886</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45886</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31741-2022</t>
        </is>
      </c>
      <c r="B292" s="1" t="n">
        <v>44776.51278935185</v>
      </c>
      <c r="C292" s="1" t="n">
        <v>45886</v>
      </c>
      <c r="D292" t="inlineStr">
        <is>
          <t>VÄSTERBOTTENS LÄN</t>
        </is>
      </c>
      <c r="E292" t="inlineStr">
        <is>
          <t>STORUMAN</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40059-2024</t>
        </is>
      </c>
      <c r="B293" s="1" t="n">
        <v>45553.91163194444</v>
      </c>
      <c r="C293" s="1" t="n">
        <v>45886</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50915-2022</t>
        </is>
      </c>
      <c r="B294" s="1" t="n">
        <v>44867</v>
      </c>
      <c r="C294" s="1" t="n">
        <v>45886</v>
      </c>
      <c r="D294" t="inlineStr">
        <is>
          <t>VÄSTERBOTTENS LÄN</t>
        </is>
      </c>
      <c r="E294" t="inlineStr">
        <is>
          <t>STORUMAN</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41823-2024</t>
        </is>
      </c>
      <c r="B295" s="1" t="n">
        <v>45561.39728009259</v>
      </c>
      <c r="C295" s="1" t="n">
        <v>45886</v>
      </c>
      <c r="D295" t="inlineStr">
        <is>
          <t>VÄSTERBOTTENS LÄN</t>
        </is>
      </c>
      <c r="E295" t="inlineStr">
        <is>
          <t>STORUMAN</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12510-2021</t>
        </is>
      </c>
      <c r="B296" s="1" t="n">
        <v>44268</v>
      </c>
      <c r="C296" s="1" t="n">
        <v>45886</v>
      </c>
      <c r="D296" t="inlineStr">
        <is>
          <t>VÄSTERBOTTENS LÄN</t>
        </is>
      </c>
      <c r="E296" t="inlineStr">
        <is>
          <t>STORUMAN</t>
        </is>
      </c>
      <c r="G296" t="n">
        <v>11.4</v>
      </c>
      <c r="H296" t="n">
        <v>0</v>
      </c>
      <c r="I296" t="n">
        <v>0</v>
      </c>
      <c r="J296" t="n">
        <v>0</v>
      </c>
      <c r="K296" t="n">
        <v>0</v>
      </c>
      <c r="L296" t="n">
        <v>0</v>
      </c>
      <c r="M296" t="n">
        <v>0</v>
      </c>
      <c r="N296" t="n">
        <v>0</v>
      </c>
      <c r="O296" t="n">
        <v>0</v>
      </c>
      <c r="P296" t="n">
        <v>0</v>
      </c>
      <c r="Q296" t="n">
        <v>0</v>
      </c>
      <c r="R296" s="2" t="inlineStr"/>
    </row>
    <row r="297" ht="15" customHeight="1">
      <c r="A297" t="inlineStr">
        <is>
          <t>A 28061-2022</t>
        </is>
      </c>
      <c r="B297" s="1" t="n">
        <v>44746</v>
      </c>
      <c r="C297" s="1" t="n">
        <v>45886</v>
      </c>
      <c r="D297" t="inlineStr">
        <is>
          <t>VÄSTERBOTTENS LÄN</t>
        </is>
      </c>
      <c r="E297" t="inlineStr">
        <is>
          <t>STORUMAN</t>
        </is>
      </c>
      <c r="G297" t="n">
        <v>13</v>
      </c>
      <c r="H297" t="n">
        <v>0</v>
      </c>
      <c r="I297" t="n">
        <v>0</v>
      </c>
      <c r="J297" t="n">
        <v>0</v>
      </c>
      <c r="K297" t="n">
        <v>0</v>
      </c>
      <c r="L297" t="n">
        <v>0</v>
      </c>
      <c r="M297" t="n">
        <v>0</v>
      </c>
      <c r="N297" t="n">
        <v>0</v>
      </c>
      <c r="O297" t="n">
        <v>0</v>
      </c>
      <c r="P297" t="n">
        <v>0</v>
      </c>
      <c r="Q297" t="n">
        <v>0</v>
      </c>
      <c r="R297" s="2" t="inlineStr"/>
    </row>
    <row r="298" ht="15" customHeight="1">
      <c r="A298" t="inlineStr">
        <is>
          <t>A 15384-2024</t>
        </is>
      </c>
      <c r="B298" s="1" t="n">
        <v>45400</v>
      </c>
      <c r="C298" s="1" t="n">
        <v>45886</v>
      </c>
      <c r="D298" t="inlineStr">
        <is>
          <t>VÄSTERBOTTENS LÄN</t>
        </is>
      </c>
      <c r="E298" t="inlineStr">
        <is>
          <t>STORUMAN</t>
        </is>
      </c>
      <c r="G298" t="n">
        <v>6.3</v>
      </c>
      <c r="H298" t="n">
        <v>0</v>
      </c>
      <c r="I298" t="n">
        <v>0</v>
      </c>
      <c r="J298" t="n">
        <v>0</v>
      </c>
      <c r="K298" t="n">
        <v>0</v>
      </c>
      <c r="L298" t="n">
        <v>0</v>
      </c>
      <c r="M298" t="n">
        <v>0</v>
      </c>
      <c r="N298" t="n">
        <v>0</v>
      </c>
      <c r="O298" t="n">
        <v>0</v>
      </c>
      <c r="P298" t="n">
        <v>0</v>
      </c>
      <c r="Q298" t="n">
        <v>0</v>
      </c>
      <c r="R298" s="2" t="inlineStr"/>
    </row>
    <row r="299" ht="15" customHeight="1">
      <c r="A299" t="inlineStr">
        <is>
          <t>A 68494-2020</t>
        </is>
      </c>
      <c r="B299" s="1" t="n">
        <v>44186</v>
      </c>
      <c r="C299" s="1" t="n">
        <v>45886</v>
      </c>
      <c r="D299" t="inlineStr">
        <is>
          <t>VÄSTERBOTTENS LÄN</t>
        </is>
      </c>
      <c r="E299" t="inlineStr">
        <is>
          <t>STORUMAN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14185-2022</t>
        </is>
      </c>
      <c r="B300" s="1" t="n">
        <v>44650</v>
      </c>
      <c r="C300" s="1" t="n">
        <v>45886</v>
      </c>
      <c r="D300" t="inlineStr">
        <is>
          <t>VÄSTERBOTTENS LÄN</t>
        </is>
      </c>
      <c r="E300" t="inlineStr">
        <is>
          <t>STORUMAN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45886</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46363-2024</t>
        </is>
      </c>
      <c r="B302" s="1" t="n">
        <v>45582</v>
      </c>
      <c r="C302" s="1" t="n">
        <v>45886</v>
      </c>
      <c r="D302" t="inlineStr">
        <is>
          <t>VÄSTERBOTTENS LÄN</t>
        </is>
      </c>
      <c r="E302" t="inlineStr">
        <is>
          <t>STORUMAN</t>
        </is>
      </c>
      <c r="G302" t="n">
        <v>5</v>
      </c>
      <c r="H302" t="n">
        <v>0</v>
      </c>
      <c r="I302" t="n">
        <v>0</v>
      </c>
      <c r="J302" t="n">
        <v>0</v>
      </c>
      <c r="K302" t="n">
        <v>0</v>
      </c>
      <c r="L302" t="n">
        <v>0</v>
      </c>
      <c r="M302" t="n">
        <v>0</v>
      </c>
      <c r="N302" t="n">
        <v>0</v>
      </c>
      <c r="O302" t="n">
        <v>0</v>
      </c>
      <c r="P302" t="n">
        <v>0</v>
      </c>
      <c r="Q302" t="n">
        <v>0</v>
      </c>
      <c r="R302" s="2" t="inlineStr"/>
    </row>
    <row r="303" ht="15" customHeight="1">
      <c r="A303" t="inlineStr">
        <is>
          <t>A 56713-2023</t>
        </is>
      </c>
      <c r="B303" s="1" t="n">
        <v>45238</v>
      </c>
      <c r="C303" s="1" t="n">
        <v>45886</v>
      </c>
      <c r="D303" t="inlineStr">
        <is>
          <t>VÄSTERBOTTENS LÄN</t>
        </is>
      </c>
      <c r="E303" t="inlineStr">
        <is>
          <t>STORUMAN</t>
        </is>
      </c>
      <c r="G303" t="n">
        <v>3.5</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45886</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47050-2024</t>
        </is>
      </c>
      <c r="B305" s="1" t="n">
        <v>45586.45775462963</v>
      </c>
      <c r="C305" s="1" t="n">
        <v>45886</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40368-2024</t>
        </is>
      </c>
      <c r="B306" s="1" t="n">
        <v>45555.39041666667</v>
      </c>
      <c r="C306" s="1" t="n">
        <v>45886</v>
      </c>
      <c r="D306" t="inlineStr">
        <is>
          <t>VÄSTERBOTTENS LÄN</t>
        </is>
      </c>
      <c r="E306" t="inlineStr">
        <is>
          <t>STORUMAN</t>
        </is>
      </c>
      <c r="G306" t="n">
        <v>7.4</v>
      </c>
      <c r="H306" t="n">
        <v>0</v>
      </c>
      <c r="I306" t="n">
        <v>0</v>
      </c>
      <c r="J306" t="n">
        <v>0</v>
      </c>
      <c r="K306" t="n">
        <v>0</v>
      </c>
      <c r="L306" t="n">
        <v>0</v>
      </c>
      <c r="M306" t="n">
        <v>0</v>
      </c>
      <c r="N306" t="n">
        <v>0</v>
      </c>
      <c r="O306" t="n">
        <v>0</v>
      </c>
      <c r="P306" t="n">
        <v>0</v>
      </c>
      <c r="Q306" t="n">
        <v>0</v>
      </c>
      <c r="R306" s="2" t="inlineStr"/>
    </row>
    <row r="307" ht="15" customHeight="1">
      <c r="A307" t="inlineStr">
        <is>
          <t>A 58852-2024</t>
        </is>
      </c>
      <c r="B307" s="1" t="n">
        <v>45635</v>
      </c>
      <c r="C307" s="1" t="n">
        <v>45886</v>
      </c>
      <c r="D307" t="inlineStr">
        <is>
          <t>VÄSTERBOTTENS LÄN</t>
        </is>
      </c>
      <c r="E307" t="inlineStr">
        <is>
          <t>STORUMAN</t>
        </is>
      </c>
      <c r="F307" t="inlineStr">
        <is>
          <t>Allmännings- och besparingsskogar</t>
        </is>
      </c>
      <c r="G307" t="n">
        <v>455.1</v>
      </c>
      <c r="H307" t="n">
        <v>0</v>
      </c>
      <c r="I307" t="n">
        <v>0</v>
      </c>
      <c r="J307" t="n">
        <v>0</v>
      </c>
      <c r="K307" t="n">
        <v>0</v>
      </c>
      <c r="L307" t="n">
        <v>0</v>
      </c>
      <c r="M307" t="n">
        <v>0</v>
      </c>
      <c r="N307" t="n">
        <v>0</v>
      </c>
      <c r="O307" t="n">
        <v>0</v>
      </c>
      <c r="P307" t="n">
        <v>0</v>
      </c>
      <c r="Q307" t="n">
        <v>0</v>
      </c>
      <c r="R307" s="2" t="inlineStr"/>
    </row>
    <row r="308" ht="15" customHeight="1">
      <c r="A308" t="inlineStr">
        <is>
          <t>A 6549-2023</t>
        </is>
      </c>
      <c r="B308" s="1" t="n">
        <v>44966</v>
      </c>
      <c r="C308" s="1" t="n">
        <v>45886</v>
      </c>
      <c r="D308" t="inlineStr">
        <is>
          <t>VÄSTERBOTTENS LÄN</t>
        </is>
      </c>
      <c r="E308" t="inlineStr">
        <is>
          <t>STORUMAN</t>
        </is>
      </c>
      <c r="G308" t="n">
        <v>7.3</v>
      </c>
      <c r="H308" t="n">
        <v>0</v>
      </c>
      <c r="I308" t="n">
        <v>0</v>
      </c>
      <c r="J308" t="n">
        <v>0</v>
      </c>
      <c r="K308" t="n">
        <v>0</v>
      </c>
      <c r="L308" t="n">
        <v>0</v>
      </c>
      <c r="M308" t="n">
        <v>0</v>
      </c>
      <c r="N308" t="n">
        <v>0</v>
      </c>
      <c r="O308" t="n">
        <v>0</v>
      </c>
      <c r="P308" t="n">
        <v>0</v>
      </c>
      <c r="Q308" t="n">
        <v>0</v>
      </c>
      <c r="R308" s="2" t="inlineStr"/>
    </row>
    <row r="309" ht="15" customHeight="1">
      <c r="A309" t="inlineStr">
        <is>
          <t>A 46362-2024</t>
        </is>
      </c>
      <c r="B309" s="1" t="n">
        <v>45582</v>
      </c>
      <c r="C309" s="1" t="n">
        <v>45886</v>
      </c>
      <c r="D309" t="inlineStr">
        <is>
          <t>VÄSTERBOTTENS LÄN</t>
        </is>
      </c>
      <c r="E309" t="inlineStr">
        <is>
          <t>STORUMAN</t>
        </is>
      </c>
      <c r="G309" t="n">
        <v>12.5</v>
      </c>
      <c r="H309" t="n">
        <v>0</v>
      </c>
      <c r="I309" t="n">
        <v>0</v>
      </c>
      <c r="J309" t="n">
        <v>0</v>
      </c>
      <c r="K309" t="n">
        <v>0</v>
      </c>
      <c r="L309" t="n">
        <v>0</v>
      </c>
      <c r="M309" t="n">
        <v>0</v>
      </c>
      <c r="N309" t="n">
        <v>0</v>
      </c>
      <c r="O309" t="n">
        <v>0</v>
      </c>
      <c r="P309" t="n">
        <v>0</v>
      </c>
      <c r="Q309" t="n">
        <v>0</v>
      </c>
      <c r="R309" s="2" t="inlineStr"/>
    </row>
    <row r="310" ht="15" customHeight="1">
      <c r="A310" t="inlineStr">
        <is>
          <t>A 12359-2023</t>
        </is>
      </c>
      <c r="B310" s="1" t="n">
        <v>44995</v>
      </c>
      <c r="C310" s="1" t="n">
        <v>45886</v>
      </c>
      <c r="D310" t="inlineStr">
        <is>
          <t>VÄSTERBOTTENS LÄN</t>
        </is>
      </c>
      <c r="E310" t="inlineStr">
        <is>
          <t>STORUMAN</t>
        </is>
      </c>
      <c r="F310" t="inlineStr">
        <is>
          <t>Allmännings- och besparingsskogar</t>
        </is>
      </c>
      <c r="G310" t="n">
        <v>449.4</v>
      </c>
      <c r="H310" t="n">
        <v>0</v>
      </c>
      <c r="I310" t="n">
        <v>0</v>
      </c>
      <c r="J310" t="n">
        <v>0</v>
      </c>
      <c r="K310" t="n">
        <v>0</v>
      </c>
      <c r="L310" t="n">
        <v>0</v>
      </c>
      <c r="M310" t="n">
        <v>0</v>
      </c>
      <c r="N310" t="n">
        <v>0</v>
      </c>
      <c r="O310" t="n">
        <v>0</v>
      </c>
      <c r="P310" t="n">
        <v>0</v>
      </c>
      <c r="Q310" t="n">
        <v>0</v>
      </c>
      <c r="R310" s="2" t="inlineStr"/>
    </row>
    <row r="311" ht="15" customHeight="1">
      <c r="A311" t="inlineStr">
        <is>
          <t>A 40865-2024</t>
        </is>
      </c>
      <c r="B311" s="1" t="n">
        <v>45558.59092592593</v>
      </c>
      <c r="C311" s="1" t="n">
        <v>45886</v>
      </c>
      <c r="D311" t="inlineStr">
        <is>
          <t>VÄSTERBOTTENS LÄN</t>
        </is>
      </c>
      <c r="E311" t="inlineStr">
        <is>
          <t>STORUMAN</t>
        </is>
      </c>
      <c r="G311" t="n">
        <v>8.5</v>
      </c>
      <c r="H311" t="n">
        <v>0</v>
      </c>
      <c r="I311" t="n">
        <v>0</v>
      </c>
      <c r="J311" t="n">
        <v>0</v>
      </c>
      <c r="K311" t="n">
        <v>0</v>
      </c>
      <c r="L311" t="n">
        <v>0</v>
      </c>
      <c r="M311" t="n">
        <v>0</v>
      </c>
      <c r="N311" t="n">
        <v>0</v>
      </c>
      <c r="O311" t="n">
        <v>0</v>
      </c>
      <c r="P311" t="n">
        <v>0</v>
      </c>
      <c r="Q311" t="n">
        <v>0</v>
      </c>
      <c r="R311" s="2" t="inlineStr"/>
    </row>
    <row r="312" ht="15" customHeight="1">
      <c r="A312" t="inlineStr">
        <is>
          <t>A 25262-2024</t>
        </is>
      </c>
      <c r="B312" s="1" t="n">
        <v>45462</v>
      </c>
      <c r="C312" s="1" t="n">
        <v>45886</v>
      </c>
      <c r="D312" t="inlineStr">
        <is>
          <t>VÄSTERBOTTENS LÄN</t>
        </is>
      </c>
      <c r="E312" t="inlineStr">
        <is>
          <t>STORUMAN</t>
        </is>
      </c>
      <c r="G312" t="n">
        <v>17.4</v>
      </c>
      <c r="H312" t="n">
        <v>0</v>
      </c>
      <c r="I312" t="n">
        <v>0</v>
      </c>
      <c r="J312" t="n">
        <v>0</v>
      </c>
      <c r="K312" t="n">
        <v>0</v>
      </c>
      <c r="L312" t="n">
        <v>0</v>
      </c>
      <c r="M312" t="n">
        <v>0</v>
      </c>
      <c r="N312" t="n">
        <v>0</v>
      </c>
      <c r="O312" t="n">
        <v>0</v>
      </c>
      <c r="P312" t="n">
        <v>0</v>
      </c>
      <c r="Q312" t="n">
        <v>0</v>
      </c>
      <c r="R312" s="2" t="inlineStr"/>
    </row>
    <row r="313" ht="15" customHeight="1">
      <c r="A313" t="inlineStr">
        <is>
          <t>A 56517-2021</t>
        </is>
      </c>
      <c r="B313" s="1" t="n">
        <v>44480</v>
      </c>
      <c r="C313" s="1" t="n">
        <v>45886</v>
      </c>
      <c r="D313" t="inlineStr">
        <is>
          <t>VÄSTERBOTTENS LÄN</t>
        </is>
      </c>
      <c r="E313" t="inlineStr">
        <is>
          <t>STORUMAN</t>
        </is>
      </c>
      <c r="G313" t="n">
        <v>9.9</v>
      </c>
      <c r="H313" t="n">
        <v>0</v>
      </c>
      <c r="I313" t="n">
        <v>0</v>
      </c>
      <c r="J313" t="n">
        <v>0</v>
      </c>
      <c r="K313" t="n">
        <v>0</v>
      </c>
      <c r="L313" t="n">
        <v>0</v>
      </c>
      <c r="M313" t="n">
        <v>0</v>
      </c>
      <c r="N313" t="n">
        <v>0</v>
      </c>
      <c r="O313" t="n">
        <v>0</v>
      </c>
      <c r="P313" t="n">
        <v>0</v>
      </c>
      <c r="Q313" t="n">
        <v>0</v>
      </c>
      <c r="R313" s="2" t="inlineStr"/>
    </row>
    <row r="314" ht="15" customHeight="1">
      <c r="A314" t="inlineStr">
        <is>
          <t>A 56530-2021</t>
        </is>
      </c>
      <c r="B314" s="1" t="n">
        <v>44480</v>
      </c>
      <c r="C314" s="1" t="n">
        <v>45886</v>
      </c>
      <c r="D314" t="inlineStr">
        <is>
          <t>VÄSTERBOTTENS LÄN</t>
        </is>
      </c>
      <c r="E314" t="inlineStr">
        <is>
          <t>STORUMAN</t>
        </is>
      </c>
      <c r="G314" t="n">
        <v>32</v>
      </c>
      <c r="H314" t="n">
        <v>0</v>
      </c>
      <c r="I314" t="n">
        <v>0</v>
      </c>
      <c r="J314" t="n">
        <v>0</v>
      </c>
      <c r="K314" t="n">
        <v>0</v>
      </c>
      <c r="L314" t="n">
        <v>0</v>
      </c>
      <c r="M314" t="n">
        <v>0</v>
      </c>
      <c r="N314" t="n">
        <v>0</v>
      </c>
      <c r="O314" t="n">
        <v>0</v>
      </c>
      <c r="P314" t="n">
        <v>0</v>
      </c>
      <c r="Q314" t="n">
        <v>0</v>
      </c>
      <c r="R314" s="2" t="inlineStr"/>
    </row>
    <row r="315" ht="15" customHeight="1">
      <c r="A315" t="inlineStr">
        <is>
          <t>A 24956-2024</t>
        </is>
      </c>
      <c r="B315" s="1" t="n">
        <v>45461</v>
      </c>
      <c r="C315" s="1" t="n">
        <v>45886</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45886</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60656-2024</t>
        </is>
      </c>
      <c r="B317" s="1" t="n">
        <v>45642</v>
      </c>
      <c r="C317" s="1" t="n">
        <v>45886</v>
      </c>
      <c r="D317" t="inlineStr">
        <is>
          <t>VÄSTERBOTTENS LÄN</t>
        </is>
      </c>
      <c r="E317" t="inlineStr">
        <is>
          <t>STORUMAN</t>
        </is>
      </c>
      <c r="G317" t="n">
        <v>5.5</v>
      </c>
      <c r="H317" t="n">
        <v>0</v>
      </c>
      <c r="I317" t="n">
        <v>0</v>
      </c>
      <c r="J317" t="n">
        <v>0</v>
      </c>
      <c r="K317" t="n">
        <v>0</v>
      </c>
      <c r="L317" t="n">
        <v>0</v>
      </c>
      <c r="M317" t="n">
        <v>0</v>
      </c>
      <c r="N317" t="n">
        <v>0</v>
      </c>
      <c r="O317" t="n">
        <v>0</v>
      </c>
      <c r="P317" t="n">
        <v>0</v>
      </c>
      <c r="Q317" t="n">
        <v>0</v>
      </c>
      <c r="R317" s="2" t="inlineStr"/>
    </row>
    <row r="318" ht="15" customHeight="1">
      <c r="A318" t="inlineStr">
        <is>
          <t>A 6760-2023</t>
        </is>
      </c>
      <c r="B318" s="1" t="n">
        <v>44966</v>
      </c>
      <c r="C318" s="1" t="n">
        <v>45886</v>
      </c>
      <c r="D318" t="inlineStr">
        <is>
          <t>VÄSTERBOTTENS LÄN</t>
        </is>
      </c>
      <c r="E318" t="inlineStr">
        <is>
          <t>STORUMAN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48358-2022</t>
        </is>
      </c>
      <c r="B319" s="1" t="n">
        <v>44858</v>
      </c>
      <c r="C319" s="1" t="n">
        <v>45886</v>
      </c>
      <c r="D319" t="inlineStr">
        <is>
          <t>VÄSTERBOTTENS LÄN</t>
        </is>
      </c>
      <c r="E319" t="inlineStr">
        <is>
          <t>STORUMAN</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31329-2023</t>
        </is>
      </c>
      <c r="B320" s="1" t="n">
        <v>45114</v>
      </c>
      <c r="C320" s="1" t="n">
        <v>45886</v>
      </c>
      <c r="D320" t="inlineStr">
        <is>
          <t>VÄSTERBOTTENS LÄN</t>
        </is>
      </c>
      <c r="E320" t="inlineStr">
        <is>
          <t>STORUMAN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57107-2023</t>
        </is>
      </c>
      <c r="B321" s="1" t="n">
        <v>45239</v>
      </c>
      <c r="C321" s="1" t="n">
        <v>45886</v>
      </c>
      <c r="D321" t="inlineStr">
        <is>
          <t>VÄSTERBOTTENS LÄN</t>
        </is>
      </c>
      <c r="E321" t="inlineStr">
        <is>
          <t>STORUMAN</t>
        </is>
      </c>
      <c r="G321" t="n">
        <v>29.9</v>
      </c>
      <c r="H321" t="n">
        <v>0</v>
      </c>
      <c r="I321" t="n">
        <v>0</v>
      </c>
      <c r="J321" t="n">
        <v>0</v>
      </c>
      <c r="K321" t="n">
        <v>0</v>
      </c>
      <c r="L321" t="n">
        <v>0</v>
      </c>
      <c r="M321" t="n">
        <v>0</v>
      </c>
      <c r="N321" t="n">
        <v>0</v>
      </c>
      <c r="O321" t="n">
        <v>0</v>
      </c>
      <c r="P321" t="n">
        <v>0</v>
      </c>
      <c r="Q321" t="n">
        <v>0</v>
      </c>
      <c r="R321" s="2" t="inlineStr"/>
    </row>
    <row r="322" ht="15" customHeight="1">
      <c r="A322" t="inlineStr">
        <is>
          <t>A 43855-2024</t>
        </is>
      </c>
      <c r="B322" s="1" t="n">
        <v>45572.35674768518</v>
      </c>
      <c r="C322" s="1" t="n">
        <v>45886</v>
      </c>
      <c r="D322" t="inlineStr">
        <is>
          <t>VÄSTERBOTTENS LÄN</t>
        </is>
      </c>
      <c r="E322" t="inlineStr">
        <is>
          <t>STORUMAN</t>
        </is>
      </c>
      <c r="G322" t="n">
        <v>10.5</v>
      </c>
      <c r="H322" t="n">
        <v>0</v>
      </c>
      <c r="I322" t="n">
        <v>0</v>
      </c>
      <c r="J322" t="n">
        <v>0</v>
      </c>
      <c r="K322" t="n">
        <v>0</v>
      </c>
      <c r="L322" t="n">
        <v>0</v>
      </c>
      <c r="M322" t="n">
        <v>0</v>
      </c>
      <c r="N322" t="n">
        <v>0</v>
      </c>
      <c r="O322" t="n">
        <v>0</v>
      </c>
      <c r="P322" t="n">
        <v>0</v>
      </c>
      <c r="Q322" t="n">
        <v>0</v>
      </c>
      <c r="R322" s="2" t="inlineStr"/>
    </row>
    <row r="323" ht="15" customHeight="1">
      <c r="A323" t="inlineStr">
        <is>
          <t>A 21955-2021</t>
        </is>
      </c>
      <c r="B323" s="1" t="n">
        <v>44322</v>
      </c>
      <c r="C323" s="1" t="n">
        <v>45886</v>
      </c>
      <c r="D323" t="inlineStr">
        <is>
          <t>VÄSTERBOTTENS LÄN</t>
        </is>
      </c>
      <c r="E323" t="inlineStr">
        <is>
          <t>STORUMAN</t>
        </is>
      </c>
      <c r="G323" t="n">
        <v>0.5</v>
      </c>
      <c r="H323" t="n">
        <v>0</v>
      </c>
      <c r="I323" t="n">
        <v>0</v>
      </c>
      <c r="J323" t="n">
        <v>0</v>
      </c>
      <c r="K323" t="n">
        <v>0</v>
      </c>
      <c r="L323" t="n">
        <v>0</v>
      </c>
      <c r="M323" t="n">
        <v>0</v>
      </c>
      <c r="N323" t="n">
        <v>0</v>
      </c>
      <c r="O323" t="n">
        <v>0</v>
      </c>
      <c r="P323" t="n">
        <v>0</v>
      </c>
      <c r="Q323" t="n">
        <v>0</v>
      </c>
      <c r="R323" s="2" t="inlineStr"/>
    </row>
    <row r="324" ht="15" customHeight="1">
      <c r="A324" t="inlineStr">
        <is>
          <t>A 39275-2022</t>
        </is>
      </c>
      <c r="B324" s="1" t="n">
        <v>44817</v>
      </c>
      <c r="C324" s="1" t="n">
        <v>45886</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45886</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17125-2021</t>
        </is>
      </c>
      <c r="B326" s="1" t="n">
        <v>44295</v>
      </c>
      <c r="C326" s="1" t="n">
        <v>45886</v>
      </c>
      <c r="D326" t="inlineStr">
        <is>
          <t>VÄSTERBOTTENS LÄN</t>
        </is>
      </c>
      <c r="E326" t="inlineStr">
        <is>
          <t>STORUMAN</t>
        </is>
      </c>
      <c r="G326" t="n">
        <v>0.7</v>
      </c>
      <c r="H326" t="n">
        <v>0</v>
      </c>
      <c r="I326" t="n">
        <v>0</v>
      </c>
      <c r="J326" t="n">
        <v>0</v>
      </c>
      <c r="K326" t="n">
        <v>0</v>
      </c>
      <c r="L326" t="n">
        <v>0</v>
      </c>
      <c r="M326" t="n">
        <v>0</v>
      </c>
      <c r="N326" t="n">
        <v>0</v>
      </c>
      <c r="O326" t="n">
        <v>0</v>
      </c>
      <c r="P326" t="n">
        <v>0</v>
      </c>
      <c r="Q326" t="n">
        <v>0</v>
      </c>
      <c r="R326" s="2" t="inlineStr"/>
    </row>
    <row r="327" ht="15" customHeight="1">
      <c r="A327" t="inlineStr">
        <is>
          <t>A 10636-2021</t>
        </is>
      </c>
      <c r="B327" s="1" t="n">
        <v>44258</v>
      </c>
      <c r="C327" s="1" t="n">
        <v>45886</v>
      </c>
      <c r="D327" t="inlineStr">
        <is>
          <t>VÄSTERBOTTENS LÄN</t>
        </is>
      </c>
      <c r="E327" t="inlineStr">
        <is>
          <t>STORUMAN</t>
        </is>
      </c>
      <c r="G327" t="n">
        <v>0.3</v>
      </c>
      <c r="H327" t="n">
        <v>0</v>
      </c>
      <c r="I327" t="n">
        <v>0</v>
      </c>
      <c r="J327" t="n">
        <v>0</v>
      </c>
      <c r="K327" t="n">
        <v>0</v>
      </c>
      <c r="L327" t="n">
        <v>0</v>
      </c>
      <c r="M327" t="n">
        <v>0</v>
      </c>
      <c r="N327" t="n">
        <v>0</v>
      </c>
      <c r="O327" t="n">
        <v>0</v>
      </c>
      <c r="P327" t="n">
        <v>0</v>
      </c>
      <c r="Q327" t="n">
        <v>0</v>
      </c>
      <c r="R327" s="2" t="inlineStr"/>
    </row>
    <row r="328" ht="15" customHeight="1">
      <c r="A328" t="inlineStr">
        <is>
          <t>A 11246-2025</t>
        </is>
      </c>
      <c r="B328" s="1" t="n">
        <v>45726.38585648148</v>
      </c>
      <c r="C328" s="1" t="n">
        <v>45886</v>
      </c>
      <c r="D328" t="inlineStr">
        <is>
          <t>VÄSTERBOTTENS LÄN</t>
        </is>
      </c>
      <c r="E328" t="inlineStr">
        <is>
          <t>STORUMAN</t>
        </is>
      </c>
      <c r="G328" t="n">
        <v>7.5</v>
      </c>
      <c r="H328" t="n">
        <v>0</v>
      </c>
      <c r="I328" t="n">
        <v>0</v>
      </c>
      <c r="J328" t="n">
        <v>0</v>
      </c>
      <c r="K328" t="n">
        <v>0</v>
      </c>
      <c r="L328" t="n">
        <v>0</v>
      </c>
      <c r="M328" t="n">
        <v>0</v>
      </c>
      <c r="N328" t="n">
        <v>0</v>
      </c>
      <c r="O328" t="n">
        <v>0</v>
      </c>
      <c r="P328" t="n">
        <v>0</v>
      </c>
      <c r="Q328" t="n">
        <v>0</v>
      </c>
      <c r="R328" s="2" t="inlineStr"/>
    </row>
    <row r="329" ht="15" customHeight="1">
      <c r="A329" t="inlineStr">
        <is>
          <t>A 42331-2021</t>
        </is>
      </c>
      <c r="B329" s="1" t="n">
        <v>44427</v>
      </c>
      <c r="C329" s="1" t="n">
        <v>45886</v>
      </c>
      <c r="D329" t="inlineStr">
        <is>
          <t>VÄSTERBOTTENS LÄN</t>
        </is>
      </c>
      <c r="E329" t="inlineStr">
        <is>
          <t>STORUMAN</t>
        </is>
      </c>
      <c r="G329" t="n">
        <v>10.8</v>
      </c>
      <c r="H329" t="n">
        <v>0</v>
      </c>
      <c r="I329" t="n">
        <v>0</v>
      </c>
      <c r="J329" t="n">
        <v>0</v>
      </c>
      <c r="K329" t="n">
        <v>0</v>
      </c>
      <c r="L329" t="n">
        <v>0</v>
      </c>
      <c r="M329" t="n">
        <v>0</v>
      </c>
      <c r="N329" t="n">
        <v>0</v>
      </c>
      <c r="O329" t="n">
        <v>0</v>
      </c>
      <c r="P329" t="n">
        <v>0</v>
      </c>
      <c r="Q329" t="n">
        <v>0</v>
      </c>
      <c r="R329" s="2" t="inlineStr"/>
    </row>
    <row r="330" ht="15" customHeight="1">
      <c r="A330" t="inlineStr">
        <is>
          <t>A 41108-2023</t>
        </is>
      </c>
      <c r="B330" s="1" t="n">
        <v>45170</v>
      </c>
      <c r="C330" s="1" t="n">
        <v>45886</v>
      </c>
      <c r="D330" t="inlineStr">
        <is>
          <t>VÄSTERBOTTENS LÄN</t>
        </is>
      </c>
      <c r="E330" t="inlineStr">
        <is>
          <t>STORUMAN</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38366-2024</t>
        </is>
      </c>
      <c r="B331" s="1" t="n">
        <v>45545</v>
      </c>
      <c r="C331" s="1" t="n">
        <v>45886</v>
      </c>
      <c r="D331" t="inlineStr">
        <is>
          <t>VÄSTERBOTTENS LÄN</t>
        </is>
      </c>
      <c r="E331" t="inlineStr">
        <is>
          <t>STORUMAN</t>
        </is>
      </c>
      <c r="G331" t="n">
        <v>5.9</v>
      </c>
      <c r="H331" t="n">
        <v>0</v>
      </c>
      <c r="I331" t="n">
        <v>0</v>
      </c>
      <c r="J331" t="n">
        <v>0</v>
      </c>
      <c r="K331" t="n">
        <v>0</v>
      </c>
      <c r="L331" t="n">
        <v>0</v>
      </c>
      <c r="M331" t="n">
        <v>0</v>
      </c>
      <c r="N331" t="n">
        <v>0</v>
      </c>
      <c r="O331" t="n">
        <v>0</v>
      </c>
      <c r="P331" t="n">
        <v>0</v>
      </c>
      <c r="Q331" t="n">
        <v>0</v>
      </c>
      <c r="R331" s="2" t="inlineStr"/>
    </row>
    <row r="332" ht="15" customHeight="1">
      <c r="A332" t="inlineStr">
        <is>
          <t>A 44203-2023</t>
        </is>
      </c>
      <c r="B332" s="1" t="n">
        <v>45183</v>
      </c>
      <c r="C332" s="1" t="n">
        <v>45886</v>
      </c>
      <c r="D332" t="inlineStr">
        <is>
          <t>VÄSTERBOTTENS LÄN</t>
        </is>
      </c>
      <c r="E332" t="inlineStr">
        <is>
          <t>STORUMAN</t>
        </is>
      </c>
      <c r="G332" t="n">
        <v>33.7</v>
      </c>
      <c r="H332" t="n">
        <v>0</v>
      </c>
      <c r="I332" t="n">
        <v>0</v>
      </c>
      <c r="J332" t="n">
        <v>0</v>
      </c>
      <c r="K332" t="n">
        <v>0</v>
      </c>
      <c r="L332" t="n">
        <v>0</v>
      </c>
      <c r="M332" t="n">
        <v>0</v>
      </c>
      <c r="N332" t="n">
        <v>0</v>
      </c>
      <c r="O332" t="n">
        <v>0</v>
      </c>
      <c r="P332" t="n">
        <v>0</v>
      </c>
      <c r="Q332" t="n">
        <v>0</v>
      </c>
      <c r="R332" s="2" t="inlineStr"/>
    </row>
    <row r="333" ht="15" customHeight="1">
      <c r="A333" t="inlineStr">
        <is>
          <t>A 24691-2023</t>
        </is>
      </c>
      <c r="B333" s="1" t="n">
        <v>45077</v>
      </c>
      <c r="C333" s="1" t="n">
        <v>45886</v>
      </c>
      <c r="D333" t="inlineStr">
        <is>
          <t>VÄSTERBOTTENS LÄN</t>
        </is>
      </c>
      <c r="E333" t="inlineStr">
        <is>
          <t>STORUMAN</t>
        </is>
      </c>
      <c r="G333" t="n">
        <v>929</v>
      </c>
      <c r="H333" t="n">
        <v>0</v>
      </c>
      <c r="I333" t="n">
        <v>0</v>
      </c>
      <c r="J333" t="n">
        <v>0</v>
      </c>
      <c r="K333" t="n">
        <v>0</v>
      </c>
      <c r="L333" t="n">
        <v>0</v>
      </c>
      <c r="M333" t="n">
        <v>0</v>
      </c>
      <c r="N333" t="n">
        <v>0</v>
      </c>
      <c r="O333" t="n">
        <v>0</v>
      </c>
      <c r="P333" t="n">
        <v>0</v>
      </c>
      <c r="Q333" t="n">
        <v>0</v>
      </c>
      <c r="R333" s="2" t="inlineStr"/>
    </row>
    <row r="334" ht="15" customHeight="1">
      <c r="A334" t="inlineStr">
        <is>
          <t>A 512-2025</t>
        </is>
      </c>
      <c r="B334" s="1" t="n">
        <v>45660</v>
      </c>
      <c r="C334" s="1" t="n">
        <v>45886</v>
      </c>
      <c r="D334" t="inlineStr">
        <is>
          <t>VÄSTERBOTTENS LÄN</t>
        </is>
      </c>
      <c r="E334" t="inlineStr">
        <is>
          <t>STORUMAN</t>
        </is>
      </c>
      <c r="G334" t="n">
        <v>18.5</v>
      </c>
      <c r="H334" t="n">
        <v>0</v>
      </c>
      <c r="I334" t="n">
        <v>0</v>
      </c>
      <c r="J334" t="n">
        <v>0</v>
      </c>
      <c r="K334" t="n">
        <v>0</v>
      </c>
      <c r="L334" t="n">
        <v>0</v>
      </c>
      <c r="M334" t="n">
        <v>0</v>
      </c>
      <c r="N334" t="n">
        <v>0</v>
      </c>
      <c r="O334" t="n">
        <v>0</v>
      </c>
      <c r="P334" t="n">
        <v>0</v>
      </c>
      <c r="Q334" t="n">
        <v>0</v>
      </c>
      <c r="R334" s="2" t="inlineStr"/>
    </row>
    <row r="335" ht="15" customHeight="1">
      <c r="A335" t="inlineStr">
        <is>
          <t>A 25018-2024</t>
        </is>
      </c>
      <c r="B335" s="1" t="n">
        <v>45461.92976851852</v>
      </c>
      <c r="C335" s="1" t="n">
        <v>45886</v>
      </c>
      <c r="D335" t="inlineStr">
        <is>
          <t>VÄSTERBOTTENS LÄN</t>
        </is>
      </c>
      <c r="E335" t="inlineStr">
        <is>
          <t>STORUMAN</t>
        </is>
      </c>
      <c r="G335" t="n">
        <v>3.1</v>
      </c>
      <c r="H335" t="n">
        <v>0</v>
      </c>
      <c r="I335" t="n">
        <v>0</v>
      </c>
      <c r="J335" t="n">
        <v>0</v>
      </c>
      <c r="K335" t="n">
        <v>0</v>
      </c>
      <c r="L335" t="n">
        <v>0</v>
      </c>
      <c r="M335" t="n">
        <v>0</v>
      </c>
      <c r="N335" t="n">
        <v>0</v>
      </c>
      <c r="O335" t="n">
        <v>0</v>
      </c>
      <c r="P335" t="n">
        <v>0</v>
      </c>
      <c r="Q335" t="n">
        <v>0</v>
      </c>
      <c r="R335" s="2" t="inlineStr"/>
    </row>
    <row r="336" ht="15" customHeight="1">
      <c r="A336" t="inlineStr">
        <is>
          <t>A 29575-2023</t>
        </is>
      </c>
      <c r="B336" s="1" t="n">
        <v>45106</v>
      </c>
      <c r="C336" s="1" t="n">
        <v>45886</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10203-2024</t>
        </is>
      </c>
      <c r="B337" s="1" t="n">
        <v>45364</v>
      </c>
      <c r="C337" s="1" t="n">
        <v>45886</v>
      </c>
      <c r="D337" t="inlineStr">
        <is>
          <t>VÄSTERBOTTENS LÄN</t>
        </is>
      </c>
      <c r="E337" t="inlineStr">
        <is>
          <t>STORUMAN</t>
        </is>
      </c>
      <c r="G337" t="n">
        <v>6</v>
      </c>
      <c r="H337" t="n">
        <v>0</v>
      </c>
      <c r="I337" t="n">
        <v>0</v>
      </c>
      <c r="J337" t="n">
        <v>0</v>
      </c>
      <c r="K337" t="n">
        <v>0</v>
      </c>
      <c r="L337" t="n">
        <v>0</v>
      </c>
      <c r="M337" t="n">
        <v>0</v>
      </c>
      <c r="N337" t="n">
        <v>0</v>
      </c>
      <c r="O337" t="n">
        <v>0</v>
      </c>
      <c r="P337" t="n">
        <v>0</v>
      </c>
      <c r="Q337" t="n">
        <v>0</v>
      </c>
      <c r="R337" s="2" t="inlineStr"/>
    </row>
    <row r="338" ht="15" customHeight="1">
      <c r="A338" t="inlineStr">
        <is>
          <t>A 10204-2024</t>
        </is>
      </c>
      <c r="B338" s="1" t="n">
        <v>45364</v>
      </c>
      <c r="C338" s="1" t="n">
        <v>45886</v>
      </c>
      <c r="D338" t="inlineStr">
        <is>
          <t>VÄSTERBOTTENS LÄN</t>
        </is>
      </c>
      <c r="E338" t="inlineStr">
        <is>
          <t>STORUMAN</t>
        </is>
      </c>
      <c r="G338" t="n">
        <v>12.3</v>
      </c>
      <c r="H338" t="n">
        <v>0</v>
      </c>
      <c r="I338" t="n">
        <v>0</v>
      </c>
      <c r="J338" t="n">
        <v>0</v>
      </c>
      <c r="K338" t="n">
        <v>0</v>
      </c>
      <c r="L338" t="n">
        <v>0</v>
      </c>
      <c r="M338" t="n">
        <v>0</v>
      </c>
      <c r="N338" t="n">
        <v>0</v>
      </c>
      <c r="O338" t="n">
        <v>0</v>
      </c>
      <c r="P338" t="n">
        <v>0</v>
      </c>
      <c r="Q338" t="n">
        <v>0</v>
      </c>
      <c r="R338" s="2" t="inlineStr"/>
    </row>
    <row r="339" ht="15" customHeight="1">
      <c r="A339" t="inlineStr">
        <is>
          <t>A 33805-2024</t>
        </is>
      </c>
      <c r="B339" s="1" t="n">
        <v>45520.6030787037</v>
      </c>
      <c r="C339" s="1" t="n">
        <v>45886</v>
      </c>
      <c r="D339" t="inlineStr">
        <is>
          <t>VÄSTERBOTTENS LÄN</t>
        </is>
      </c>
      <c r="E339" t="inlineStr">
        <is>
          <t>STORUMAN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59249-2022</t>
        </is>
      </c>
      <c r="B340" s="1" t="n">
        <v>44904.57640046296</v>
      </c>
      <c r="C340" s="1" t="n">
        <v>45886</v>
      </c>
      <c r="D340" t="inlineStr">
        <is>
          <t>VÄSTERBOTTENS LÄN</t>
        </is>
      </c>
      <c r="E340" t="inlineStr">
        <is>
          <t>STORUMAN</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66786-2020</t>
        </is>
      </c>
      <c r="B341" s="1" t="n">
        <v>44175</v>
      </c>
      <c r="C341" s="1" t="n">
        <v>45886</v>
      </c>
      <c r="D341" t="inlineStr">
        <is>
          <t>VÄSTERBOTTENS LÄN</t>
        </is>
      </c>
      <c r="E341" t="inlineStr">
        <is>
          <t>STORUMAN</t>
        </is>
      </c>
      <c r="G341" t="n">
        <v>1</v>
      </c>
      <c r="H341" t="n">
        <v>0</v>
      </c>
      <c r="I341" t="n">
        <v>0</v>
      </c>
      <c r="J341" t="n">
        <v>0</v>
      </c>
      <c r="K341" t="n">
        <v>0</v>
      </c>
      <c r="L341" t="n">
        <v>0</v>
      </c>
      <c r="M341" t="n">
        <v>0</v>
      </c>
      <c r="N341" t="n">
        <v>0</v>
      </c>
      <c r="O341" t="n">
        <v>0</v>
      </c>
      <c r="P341" t="n">
        <v>0</v>
      </c>
      <c r="Q341" t="n">
        <v>0</v>
      </c>
      <c r="R341" s="2" t="inlineStr"/>
    </row>
    <row r="342" ht="15" customHeight="1">
      <c r="A342" t="inlineStr">
        <is>
          <t>A 55486-2020</t>
        </is>
      </c>
      <c r="B342" s="1" t="n">
        <v>44131.50769675926</v>
      </c>
      <c r="C342" s="1" t="n">
        <v>45886</v>
      </c>
      <c r="D342" t="inlineStr">
        <is>
          <t>VÄSTERBOTTENS LÄN</t>
        </is>
      </c>
      <c r="E342" t="inlineStr">
        <is>
          <t>STORUMAN</t>
        </is>
      </c>
      <c r="G342" t="n">
        <v>62.4</v>
      </c>
      <c r="H342" t="n">
        <v>0</v>
      </c>
      <c r="I342" t="n">
        <v>0</v>
      </c>
      <c r="J342" t="n">
        <v>0</v>
      </c>
      <c r="K342" t="n">
        <v>0</v>
      </c>
      <c r="L342" t="n">
        <v>0</v>
      </c>
      <c r="M342" t="n">
        <v>0</v>
      </c>
      <c r="N342" t="n">
        <v>0</v>
      </c>
      <c r="O342" t="n">
        <v>0</v>
      </c>
      <c r="P342" t="n">
        <v>0</v>
      </c>
      <c r="Q342" t="n">
        <v>0</v>
      </c>
      <c r="R342" s="2" t="inlineStr"/>
    </row>
    <row r="343" ht="15" customHeight="1">
      <c r="A343" t="inlineStr">
        <is>
          <t>A 56296-2023</t>
        </is>
      </c>
      <c r="B343" s="1" t="n">
        <v>45242</v>
      </c>
      <c r="C343" s="1" t="n">
        <v>45886</v>
      </c>
      <c r="D343" t="inlineStr">
        <is>
          <t>VÄSTERBOTTENS LÄN</t>
        </is>
      </c>
      <c r="E343" t="inlineStr">
        <is>
          <t>STORUMAN</t>
        </is>
      </c>
      <c r="G343" t="n">
        <v>3.1</v>
      </c>
      <c r="H343" t="n">
        <v>0</v>
      </c>
      <c r="I343" t="n">
        <v>0</v>
      </c>
      <c r="J343" t="n">
        <v>0</v>
      </c>
      <c r="K343" t="n">
        <v>0</v>
      </c>
      <c r="L343" t="n">
        <v>0</v>
      </c>
      <c r="M343" t="n">
        <v>0</v>
      </c>
      <c r="N343" t="n">
        <v>0</v>
      </c>
      <c r="O343" t="n">
        <v>0</v>
      </c>
      <c r="P343" t="n">
        <v>0</v>
      </c>
      <c r="Q343" t="n">
        <v>0</v>
      </c>
      <c r="R343" s="2" t="inlineStr"/>
    </row>
    <row r="344" ht="15" customHeight="1">
      <c r="A344" t="inlineStr">
        <is>
          <t>A 45766-2021</t>
        </is>
      </c>
      <c r="B344" s="1" t="n">
        <v>44441.43959490741</v>
      </c>
      <c r="C344" s="1" t="n">
        <v>45886</v>
      </c>
      <c r="D344" t="inlineStr">
        <is>
          <t>VÄSTERBOTTENS LÄN</t>
        </is>
      </c>
      <c r="E344" t="inlineStr">
        <is>
          <t>STORUMAN</t>
        </is>
      </c>
      <c r="F344" t="inlineStr">
        <is>
          <t>Sveaskog</t>
        </is>
      </c>
      <c r="G344" t="n">
        <v>13.6</v>
      </c>
      <c r="H344" t="n">
        <v>0</v>
      </c>
      <c r="I344" t="n">
        <v>0</v>
      </c>
      <c r="J344" t="n">
        <v>0</v>
      </c>
      <c r="K344" t="n">
        <v>0</v>
      </c>
      <c r="L344" t="n">
        <v>0</v>
      </c>
      <c r="M344" t="n">
        <v>0</v>
      </c>
      <c r="N344" t="n">
        <v>0</v>
      </c>
      <c r="O344" t="n">
        <v>0</v>
      </c>
      <c r="P344" t="n">
        <v>0</v>
      </c>
      <c r="Q344" t="n">
        <v>0</v>
      </c>
      <c r="R344" s="2" t="inlineStr"/>
    </row>
    <row r="345" ht="15" customHeight="1">
      <c r="A345" t="inlineStr">
        <is>
          <t>A 50913-2022</t>
        </is>
      </c>
      <c r="B345" s="1" t="n">
        <v>44867</v>
      </c>
      <c r="C345" s="1" t="n">
        <v>45886</v>
      </c>
      <c r="D345" t="inlineStr">
        <is>
          <t>VÄSTERBOTTENS LÄN</t>
        </is>
      </c>
      <c r="E345" t="inlineStr">
        <is>
          <t>STORUMAN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40845-2020</t>
        </is>
      </c>
      <c r="B346" s="1" t="n">
        <v>44070</v>
      </c>
      <c r="C346" s="1" t="n">
        <v>45886</v>
      </c>
      <c r="D346" t="inlineStr">
        <is>
          <t>VÄSTERBOTTENS LÄN</t>
        </is>
      </c>
      <c r="E346" t="inlineStr">
        <is>
          <t>STORUMAN</t>
        </is>
      </c>
      <c r="G346" t="n">
        <v>20.1</v>
      </c>
      <c r="H346" t="n">
        <v>0</v>
      </c>
      <c r="I346" t="n">
        <v>0</v>
      </c>
      <c r="J346" t="n">
        <v>0</v>
      </c>
      <c r="K346" t="n">
        <v>0</v>
      </c>
      <c r="L346" t="n">
        <v>0</v>
      </c>
      <c r="M346" t="n">
        <v>0</v>
      </c>
      <c r="N346" t="n">
        <v>0</v>
      </c>
      <c r="O346" t="n">
        <v>0</v>
      </c>
      <c r="P346" t="n">
        <v>0</v>
      </c>
      <c r="Q346" t="n">
        <v>0</v>
      </c>
      <c r="R346" s="2" t="inlineStr"/>
    </row>
    <row r="347" ht="15" customHeight="1">
      <c r="A347" t="inlineStr">
        <is>
          <t>A 39973-2021</t>
        </is>
      </c>
      <c r="B347" s="1" t="n">
        <v>44417</v>
      </c>
      <c r="C347" s="1" t="n">
        <v>45886</v>
      </c>
      <c r="D347" t="inlineStr">
        <is>
          <t>VÄSTERBOTTENS LÄN</t>
        </is>
      </c>
      <c r="E347" t="inlineStr">
        <is>
          <t>STORUMAN</t>
        </is>
      </c>
      <c r="G347" t="n">
        <v>34.6</v>
      </c>
      <c r="H347" t="n">
        <v>0</v>
      </c>
      <c r="I347" t="n">
        <v>0</v>
      </c>
      <c r="J347" t="n">
        <v>0</v>
      </c>
      <c r="K347" t="n">
        <v>0</v>
      </c>
      <c r="L347" t="n">
        <v>0</v>
      </c>
      <c r="M347" t="n">
        <v>0</v>
      </c>
      <c r="N347" t="n">
        <v>0</v>
      </c>
      <c r="O347" t="n">
        <v>0</v>
      </c>
      <c r="P347" t="n">
        <v>0</v>
      </c>
      <c r="Q347" t="n">
        <v>0</v>
      </c>
      <c r="R347" s="2" t="inlineStr"/>
    </row>
    <row r="348" ht="15" customHeight="1">
      <c r="A348" t="inlineStr">
        <is>
          <t>A 62624-2023</t>
        </is>
      </c>
      <c r="B348" s="1" t="n">
        <v>45271.37019675926</v>
      </c>
      <c r="C348" s="1" t="n">
        <v>45886</v>
      </c>
      <c r="D348" t="inlineStr">
        <is>
          <t>VÄSTERBOTTENS LÄN</t>
        </is>
      </c>
      <c r="E348" t="inlineStr">
        <is>
          <t>STORUMAN</t>
        </is>
      </c>
      <c r="G348" t="n">
        <v>7.7</v>
      </c>
      <c r="H348" t="n">
        <v>0</v>
      </c>
      <c r="I348" t="n">
        <v>0</v>
      </c>
      <c r="J348" t="n">
        <v>0</v>
      </c>
      <c r="K348" t="n">
        <v>0</v>
      </c>
      <c r="L348" t="n">
        <v>0</v>
      </c>
      <c r="M348" t="n">
        <v>0</v>
      </c>
      <c r="N348" t="n">
        <v>0</v>
      </c>
      <c r="O348" t="n">
        <v>0</v>
      </c>
      <c r="P348" t="n">
        <v>0</v>
      </c>
      <c r="Q348" t="n">
        <v>0</v>
      </c>
      <c r="R348" s="2" t="inlineStr"/>
    </row>
    <row r="349" ht="15" customHeight="1">
      <c r="A349" t="inlineStr">
        <is>
          <t>A 40111-2023</t>
        </is>
      </c>
      <c r="B349" s="1" t="n">
        <v>45168.93827546296</v>
      </c>
      <c r="C349" s="1" t="n">
        <v>45886</v>
      </c>
      <c r="D349" t="inlineStr">
        <is>
          <t>VÄSTERBOTTENS LÄN</t>
        </is>
      </c>
      <c r="E349" t="inlineStr">
        <is>
          <t>STORUMAN</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27585-2024</t>
        </is>
      </c>
      <c r="B350" s="1" t="n">
        <v>45474</v>
      </c>
      <c r="C350" s="1" t="n">
        <v>45886</v>
      </c>
      <c r="D350" t="inlineStr">
        <is>
          <t>VÄSTERBOTTENS LÄN</t>
        </is>
      </c>
      <c r="E350" t="inlineStr">
        <is>
          <t>STORUMAN</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60854-2023</t>
        </is>
      </c>
      <c r="B351" s="1" t="n">
        <v>45260.9266087963</v>
      </c>
      <c r="C351" s="1" t="n">
        <v>45886</v>
      </c>
      <c r="D351" t="inlineStr">
        <is>
          <t>VÄSTERBOTTENS LÄN</t>
        </is>
      </c>
      <c r="E351" t="inlineStr">
        <is>
          <t>STORUMAN</t>
        </is>
      </c>
      <c r="G351" t="n">
        <v>8.1</v>
      </c>
      <c r="H351" t="n">
        <v>0</v>
      </c>
      <c r="I351" t="n">
        <v>0</v>
      </c>
      <c r="J351" t="n">
        <v>0</v>
      </c>
      <c r="K351" t="n">
        <v>0</v>
      </c>
      <c r="L351" t="n">
        <v>0</v>
      </c>
      <c r="M351" t="n">
        <v>0</v>
      </c>
      <c r="N351" t="n">
        <v>0</v>
      </c>
      <c r="O351" t="n">
        <v>0</v>
      </c>
      <c r="P351" t="n">
        <v>0</v>
      </c>
      <c r="Q351" t="n">
        <v>0</v>
      </c>
      <c r="R351" s="2" t="inlineStr"/>
    </row>
    <row r="352" ht="15" customHeight="1">
      <c r="A352" t="inlineStr">
        <is>
          <t>A 6636-2022</t>
        </is>
      </c>
      <c r="B352" s="1" t="n">
        <v>44601</v>
      </c>
      <c r="C352" s="1" t="n">
        <v>45886</v>
      </c>
      <c r="D352" t="inlineStr">
        <is>
          <t>VÄSTERBOTTENS LÄN</t>
        </is>
      </c>
      <c r="E352" t="inlineStr">
        <is>
          <t>STORUMAN</t>
        </is>
      </c>
      <c r="G352" t="n">
        <v>23.5</v>
      </c>
      <c r="H352" t="n">
        <v>0</v>
      </c>
      <c r="I352" t="n">
        <v>0</v>
      </c>
      <c r="J352" t="n">
        <v>0</v>
      </c>
      <c r="K352" t="n">
        <v>0</v>
      </c>
      <c r="L352" t="n">
        <v>0</v>
      </c>
      <c r="M352" t="n">
        <v>0</v>
      </c>
      <c r="N352" t="n">
        <v>0</v>
      </c>
      <c r="O352" t="n">
        <v>0</v>
      </c>
      <c r="P352" t="n">
        <v>0</v>
      </c>
      <c r="Q352" t="n">
        <v>0</v>
      </c>
      <c r="R352" s="2" t="inlineStr"/>
    </row>
    <row r="353" ht="15" customHeight="1">
      <c r="A353" t="inlineStr">
        <is>
          <t>A 43901-2020</t>
        </is>
      </c>
      <c r="B353" s="1" t="n">
        <v>44078</v>
      </c>
      <c r="C353" s="1" t="n">
        <v>45886</v>
      </c>
      <c r="D353" t="inlineStr">
        <is>
          <t>VÄSTERBOTTENS LÄN</t>
        </is>
      </c>
      <c r="E353" t="inlineStr">
        <is>
          <t>STORUMAN</t>
        </is>
      </c>
      <c r="F353" t="inlineStr">
        <is>
          <t>Allmännings- och besparingsskogar</t>
        </is>
      </c>
      <c r="G353" t="n">
        <v>89.59999999999999</v>
      </c>
      <c r="H353" t="n">
        <v>0</v>
      </c>
      <c r="I353" t="n">
        <v>0</v>
      </c>
      <c r="J353" t="n">
        <v>0</v>
      </c>
      <c r="K353" t="n">
        <v>0</v>
      </c>
      <c r="L353" t="n">
        <v>0</v>
      </c>
      <c r="M353" t="n">
        <v>0</v>
      </c>
      <c r="N353" t="n">
        <v>0</v>
      </c>
      <c r="O353" t="n">
        <v>0</v>
      </c>
      <c r="P353" t="n">
        <v>0</v>
      </c>
      <c r="Q353" t="n">
        <v>0</v>
      </c>
      <c r="R353" s="2" t="inlineStr"/>
    </row>
    <row r="354" ht="15" customHeight="1">
      <c r="A354" t="inlineStr">
        <is>
          <t>A 43926-2020</t>
        </is>
      </c>
      <c r="B354" s="1" t="n">
        <v>44078</v>
      </c>
      <c r="C354" s="1" t="n">
        <v>45886</v>
      </c>
      <c r="D354" t="inlineStr">
        <is>
          <t>VÄSTERBOTTENS LÄN</t>
        </is>
      </c>
      <c r="E354" t="inlineStr">
        <is>
          <t>STORUMAN</t>
        </is>
      </c>
      <c r="F354" t="inlineStr">
        <is>
          <t>Allmännings- och besparingsskogar</t>
        </is>
      </c>
      <c r="G354" t="n">
        <v>55.6</v>
      </c>
      <c r="H354" t="n">
        <v>0</v>
      </c>
      <c r="I354" t="n">
        <v>0</v>
      </c>
      <c r="J354" t="n">
        <v>0</v>
      </c>
      <c r="K354" t="n">
        <v>0</v>
      </c>
      <c r="L354" t="n">
        <v>0</v>
      </c>
      <c r="M354" t="n">
        <v>0</v>
      </c>
      <c r="N354" t="n">
        <v>0</v>
      </c>
      <c r="O354" t="n">
        <v>0</v>
      </c>
      <c r="P354" t="n">
        <v>0</v>
      </c>
      <c r="Q354" t="n">
        <v>0</v>
      </c>
      <c r="R354" s="2" t="inlineStr"/>
    </row>
    <row r="355" ht="15" customHeight="1">
      <c r="A355" t="inlineStr">
        <is>
          <t>A 72281-2021</t>
        </is>
      </c>
      <c r="B355" s="1" t="n">
        <v>44543</v>
      </c>
      <c r="C355" s="1" t="n">
        <v>45886</v>
      </c>
      <c r="D355" t="inlineStr">
        <is>
          <t>VÄSTERBOTTENS LÄN</t>
        </is>
      </c>
      <c r="E355" t="inlineStr">
        <is>
          <t>STORUMAN</t>
        </is>
      </c>
      <c r="G355" t="n">
        <v>18.5</v>
      </c>
      <c r="H355" t="n">
        <v>0</v>
      </c>
      <c r="I355" t="n">
        <v>0</v>
      </c>
      <c r="J355" t="n">
        <v>0</v>
      </c>
      <c r="K355" t="n">
        <v>0</v>
      </c>
      <c r="L355" t="n">
        <v>0</v>
      </c>
      <c r="M355" t="n">
        <v>0</v>
      </c>
      <c r="N355" t="n">
        <v>0</v>
      </c>
      <c r="O355" t="n">
        <v>0</v>
      </c>
      <c r="P355" t="n">
        <v>0</v>
      </c>
      <c r="Q355" t="n">
        <v>0</v>
      </c>
      <c r="R355" s="2" t="inlineStr"/>
    </row>
    <row r="356" ht="15" customHeight="1">
      <c r="A356" t="inlineStr">
        <is>
          <t>A 39260-2022</t>
        </is>
      </c>
      <c r="B356" s="1" t="n">
        <v>44817</v>
      </c>
      <c r="C356" s="1" t="n">
        <v>45886</v>
      </c>
      <c r="D356" t="inlineStr">
        <is>
          <t>VÄSTERBOTTENS LÄN</t>
        </is>
      </c>
      <c r="E356" t="inlineStr">
        <is>
          <t>STORUMAN</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19326-2023</t>
        </is>
      </c>
      <c r="B357" s="1" t="n">
        <v>45049</v>
      </c>
      <c r="C357" s="1" t="n">
        <v>45886</v>
      </c>
      <c r="D357" t="inlineStr">
        <is>
          <t>VÄSTERBOTTENS LÄN</t>
        </is>
      </c>
      <c r="E357" t="inlineStr">
        <is>
          <t>STORUMAN</t>
        </is>
      </c>
      <c r="G357" t="n">
        <v>35.3</v>
      </c>
      <c r="H357" t="n">
        <v>0</v>
      </c>
      <c r="I357" t="n">
        <v>0</v>
      </c>
      <c r="J357" t="n">
        <v>0</v>
      </c>
      <c r="K357" t="n">
        <v>0</v>
      </c>
      <c r="L357" t="n">
        <v>0</v>
      </c>
      <c r="M357" t="n">
        <v>0</v>
      </c>
      <c r="N357" t="n">
        <v>0</v>
      </c>
      <c r="O357" t="n">
        <v>0</v>
      </c>
      <c r="P357" t="n">
        <v>0</v>
      </c>
      <c r="Q357" t="n">
        <v>0</v>
      </c>
      <c r="R357" s="2" t="inlineStr"/>
    </row>
    <row r="358" ht="15" customHeight="1">
      <c r="A358" t="inlineStr">
        <is>
          <t>A 33801-2024</t>
        </is>
      </c>
      <c r="B358" s="1" t="n">
        <v>45520.59993055555</v>
      </c>
      <c r="C358" s="1" t="n">
        <v>45886</v>
      </c>
      <c r="D358" t="inlineStr">
        <is>
          <t>VÄSTERBOTTENS LÄN</t>
        </is>
      </c>
      <c r="E358" t="inlineStr">
        <is>
          <t>STORUMAN</t>
        </is>
      </c>
      <c r="F358" t="inlineStr">
        <is>
          <t>Sveaskog</t>
        </is>
      </c>
      <c r="G358" t="n">
        <v>6</v>
      </c>
      <c r="H358" t="n">
        <v>0</v>
      </c>
      <c r="I358" t="n">
        <v>0</v>
      </c>
      <c r="J358" t="n">
        <v>0</v>
      </c>
      <c r="K358" t="n">
        <v>0</v>
      </c>
      <c r="L358" t="n">
        <v>0</v>
      </c>
      <c r="M358" t="n">
        <v>0</v>
      </c>
      <c r="N358" t="n">
        <v>0</v>
      </c>
      <c r="O358" t="n">
        <v>0</v>
      </c>
      <c r="P358" t="n">
        <v>0</v>
      </c>
      <c r="Q358" t="n">
        <v>0</v>
      </c>
      <c r="R358" s="2" t="inlineStr"/>
    </row>
    <row r="359" ht="15" customHeight="1">
      <c r="A359" t="inlineStr">
        <is>
          <t>A 33854-2024</t>
        </is>
      </c>
      <c r="B359" s="1" t="n">
        <v>45520.64584490741</v>
      </c>
      <c r="C359" s="1" t="n">
        <v>45886</v>
      </c>
      <c r="D359" t="inlineStr">
        <is>
          <t>VÄSTERBOTTENS LÄN</t>
        </is>
      </c>
      <c r="E359" t="inlineStr">
        <is>
          <t>STORUMAN</t>
        </is>
      </c>
      <c r="F359" t="inlineStr">
        <is>
          <t>Sveaskog</t>
        </is>
      </c>
      <c r="G359" t="n">
        <v>8.4</v>
      </c>
      <c r="H359" t="n">
        <v>0</v>
      </c>
      <c r="I359" t="n">
        <v>0</v>
      </c>
      <c r="J359" t="n">
        <v>0</v>
      </c>
      <c r="K359" t="n">
        <v>0</v>
      </c>
      <c r="L359" t="n">
        <v>0</v>
      </c>
      <c r="M359" t="n">
        <v>0</v>
      </c>
      <c r="N359" t="n">
        <v>0</v>
      </c>
      <c r="O359" t="n">
        <v>0</v>
      </c>
      <c r="P359" t="n">
        <v>0</v>
      </c>
      <c r="Q359" t="n">
        <v>0</v>
      </c>
      <c r="R359" s="2" t="inlineStr"/>
    </row>
    <row r="360" ht="15" customHeight="1">
      <c r="A360" t="inlineStr">
        <is>
          <t>A 15339-2023</t>
        </is>
      </c>
      <c r="B360" s="1" t="n">
        <v>45016</v>
      </c>
      <c r="C360" s="1" t="n">
        <v>45886</v>
      </c>
      <c r="D360" t="inlineStr">
        <is>
          <t>VÄSTERBOTTENS LÄN</t>
        </is>
      </c>
      <c r="E360" t="inlineStr">
        <is>
          <t>STORUMAN</t>
        </is>
      </c>
      <c r="G360" t="n">
        <v>97.5</v>
      </c>
      <c r="H360" t="n">
        <v>0</v>
      </c>
      <c r="I360" t="n">
        <v>0</v>
      </c>
      <c r="J360" t="n">
        <v>0</v>
      </c>
      <c r="K360" t="n">
        <v>0</v>
      </c>
      <c r="L360" t="n">
        <v>0</v>
      </c>
      <c r="M360" t="n">
        <v>0</v>
      </c>
      <c r="N360" t="n">
        <v>0</v>
      </c>
      <c r="O360" t="n">
        <v>0</v>
      </c>
      <c r="P360" t="n">
        <v>0</v>
      </c>
      <c r="Q360" t="n">
        <v>0</v>
      </c>
      <c r="R360" s="2" t="inlineStr"/>
    </row>
    <row r="361" ht="15" customHeight="1">
      <c r="A361" t="inlineStr">
        <is>
          <t>A 48332-2021</t>
        </is>
      </c>
      <c r="B361" s="1" t="n">
        <v>44451.45726851852</v>
      </c>
      <c r="C361" s="1" t="n">
        <v>45886</v>
      </c>
      <c r="D361" t="inlineStr">
        <is>
          <t>VÄSTERBOTTENS LÄN</t>
        </is>
      </c>
      <c r="E361" t="inlineStr">
        <is>
          <t>STORUMAN</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5898-2022</t>
        </is>
      </c>
      <c r="B362" s="1" t="n">
        <v>44596</v>
      </c>
      <c r="C362" s="1" t="n">
        <v>45886</v>
      </c>
      <c r="D362" t="inlineStr">
        <is>
          <t>VÄSTERBOTTENS LÄN</t>
        </is>
      </c>
      <c r="E362" t="inlineStr">
        <is>
          <t>STORUMAN</t>
        </is>
      </c>
      <c r="G362" t="n">
        <v>20.2</v>
      </c>
      <c r="H362" t="n">
        <v>0</v>
      </c>
      <c r="I362" t="n">
        <v>0</v>
      </c>
      <c r="J362" t="n">
        <v>0</v>
      </c>
      <c r="K362" t="n">
        <v>0</v>
      </c>
      <c r="L362" t="n">
        <v>0</v>
      </c>
      <c r="M362" t="n">
        <v>0</v>
      </c>
      <c r="N362" t="n">
        <v>0</v>
      </c>
      <c r="O362" t="n">
        <v>0</v>
      </c>
      <c r="P362" t="n">
        <v>0</v>
      </c>
      <c r="Q362" t="n">
        <v>0</v>
      </c>
      <c r="R362" s="2" t="inlineStr"/>
    </row>
    <row r="363" ht="15" customHeight="1">
      <c r="A363" t="inlineStr">
        <is>
          <t>A 58787-2024</t>
        </is>
      </c>
      <c r="B363" s="1" t="n">
        <v>45635.90383101852</v>
      </c>
      <c r="C363" s="1" t="n">
        <v>45886</v>
      </c>
      <c r="D363" t="inlineStr">
        <is>
          <t>VÄSTERBOTTENS LÄN</t>
        </is>
      </c>
      <c r="E363" t="inlineStr">
        <is>
          <t>STORUMAN</t>
        </is>
      </c>
      <c r="G363" t="n">
        <v>17.4</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45886</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37429-2022</t>
        </is>
      </c>
      <c r="B365" s="1" t="n">
        <v>44809</v>
      </c>
      <c r="C365" s="1" t="n">
        <v>45886</v>
      </c>
      <c r="D365" t="inlineStr">
        <is>
          <t>VÄSTERBOTTENS LÄN</t>
        </is>
      </c>
      <c r="E365" t="inlineStr">
        <is>
          <t>STORUMAN</t>
        </is>
      </c>
      <c r="G365" t="n">
        <v>3</v>
      </c>
      <c r="H365" t="n">
        <v>0</v>
      </c>
      <c r="I365" t="n">
        <v>0</v>
      </c>
      <c r="J365" t="n">
        <v>0</v>
      </c>
      <c r="K365" t="n">
        <v>0</v>
      </c>
      <c r="L365" t="n">
        <v>0</v>
      </c>
      <c r="M365" t="n">
        <v>0</v>
      </c>
      <c r="N365" t="n">
        <v>0</v>
      </c>
      <c r="O365" t="n">
        <v>0</v>
      </c>
      <c r="P365" t="n">
        <v>0</v>
      </c>
      <c r="Q365" t="n">
        <v>0</v>
      </c>
      <c r="R365" s="2" t="inlineStr"/>
    </row>
    <row r="366" ht="15" customHeight="1">
      <c r="A366" t="inlineStr">
        <is>
          <t>A 19648-2021</t>
        </is>
      </c>
      <c r="B366" s="1" t="n">
        <v>44312</v>
      </c>
      <c r="C366" s="1" t="n">
        <v>45886</v>
      </c>
      <c r="D366" t="inlineStr">
        <is>
          <t>VÄSTERBOTTENS LÄN</t>
        </is>
      </c>
      <c r="E366" t="inlineStr">
        <is>
          <t>STORUMAN</t>
        </is>
      </c>
      <c r="G366" t="n">
        <v>4.1</v>
      </c>
      <c r="H366" t="n">
        <v>0</v>
      </c>
      <c r="I366" t="n">
        <v>0</v>
      </c>
      <c r="J366" t="n">
        <v>0</v>
      </c>
      <c r="K366" t="n">
        <v>0</v>
      </c>
      <c r="L366" t="n">
        <v>0</v>
      </c>
      <c r="M366" t="n">
        <v>0</v>
      </c>
      <c r="N366" t="n">
        <v>0</v>
      </c>
      <c r="O366" t="n">
        <v>0</v>
      </c>
      <c r="P366" t="n">
        <v>0</v>
      </c>
      <c r="Q366" t="n">
        <v>0</v>
      </c>
      <c r="R366" s="2" t="inlineStr"/>
    </row>
    <row r="367" ht="15" customHeight="1">
      <c r="A367" t="inlineStr">
        <is>
          <t>A 7446-2025</t>
        </is>
      </c>
      <c r="B367" s="1" t="n">
        <v>45705</v>
      </c>
      <c r="C367" s="1" t="n">
        <v>45886</v>
      </c>
      <c r="D367" t="inlineStr">
        <is>
          <t>VÄSTERBOTTENS LÄN</t>
        </is>
      </c>
      <c r="E367" t="inlineStr">
        <is>
          <t>STORUMAN</t>
        </is>
      </c>
      <c r="G367" t="n">
        <v>3.9</v>
      </c>
      <c r="H367" t="n">
        <v>0</v>
      </c>
      <c r="I367" t="n">
        <v>0</v>
      </c>
      <c r="J367" t="n">
        <v>0</v>
      </c>
      <c r="K367" t="n">
        <v>0</v>
      </c>
      <c r="L367" t="n">
        <v>0</v>
      </c>
      <c r="M367" t="n">
        <v>0</v>
      </c>
      <c r="N367" t="n">
        <v>0</v>
      </c>
      <c r="O367" t="n">
        <v>0</v>
      </c>
      <c r="P367" t="n">
        <v>0</v>
      </c>
      <c r="Q367" t="n">
        <v>0</v>
      </c>
      <c r="R367" s="2" t="inlineStr"/>
    </row>
    <row r="368" ht="15" customHeight="1">
      <c r="A368" t="inlineStr">
        <is>
          <t>A 30584-2024</t>
        </is>
      </c>
      <c r="B368" s="1" t="n">
        <v>45492.96185185185</v>
      </c>
      <c r="C368" s="1" t="n">
        <v>45886</v>
      </c>
      <c r="D368" t="inlineStr">
        <is>
          <t>VÄSTERBOTTENS LÄN</t>
        </is>
      </c>
      <c r="E368" t="inlineStr">
        <is>
          <t>STORUMAN</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22319-2022</t>
        </is>
      </c>
      <c r="B369" s="1" t="n">
        <v>44712.92430555556</v>
      </c>
      <c r="C369" s="1" t="n">
        <v>45886</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44904.65288194444</v>
      </c>
      <c r="C370" s="1" t="n">
        <v>45886</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29747-2023</t>
        </is>
      </c>
      <c r="B371" s="1" t="n">
        <v>45107</v>
      </c>
      <c r="C371" s="1" t="n">
        <v>45886</v>
      </c>
      <c r="D371" t="inlineStr">
        <is>
          <t>VÄSTERBOTTENS LÄN</t>
        </is>
      </c>
      <c r="E371" t="inlineStr">
        <is>
          <t>STORUMAN</t>
        </is>
      </c>
      <c r="F371" t="inlineStr">
        <is>
          <t>Holmen skog AB</t>
        </is>
      </c>
      <c r="G371" t="n">
        <v>13.3</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45886</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72276-2021</t>
        </is>
      </c>
      <c r="B373" s="1" t="n">
        <v>44543</v>
      </c>
      <c r="C373" s="1" t="n">
        <v>45886</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41847-2024</t>
        </is>
      </c>
      <c r="B374" s="1" t="n">
        <v>45561.43010416667</v>
      </c>
      <c r="C374" s="1" t="n">
        <v>45886</v>
      </c>
      <c r="D374" t="inlineStr">
        <is>
          <t>VÄSTERBOTTENS LÄN</t>
        </is>
      </c>
      <c r="E374" t="inlineStr">
        <is>
          <t>STORUMAN</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39260-2024</t>
        </is>
      </c>
      <c r="B375" s="1" t="n">
        <v>45551.33335648148</v>
      </c>
      <c r="C375" s="1" t="n">
        <v>45886</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30815-2024</t>
        </is>
      </c>
      <c r="B376" s="1" t="n">
        <v>45497</v>
      </c>
      <c r="C376" s="1" t="n">
        <v>45886</v>
      </c>
      <c r="D376" t="inlineStr">
        <is>
          <t>VÄSTERBOTTENS LÄN</t>
        </is>
      </c>
      <c r="E376" t="inlineStr">
        <is>
          <t>STORUMAN</t>
        </is>
      </c>
      <c r="G376" t="n">
        <v>25.8</v>
      </c>
      <c r="H376" t="n">
        <v>0</v>
      </c>
      <c r="I376" t="n">
        <v>0</v>
      </c>
      <c r="J376" t="n">
        <v>0</v>
      </c>
      <c r="K376" t="n">
        <v>0</v>
      </c>
      <c r="L376" t="n">
        <v>0</v>
      </c>
      <c r="M376" t="n">
        <v>0</v>
      </c>
      <c r="N376" t="n">
        <v>0</v>
      </c>
      <c r="O376" t="n">
        <v>0</v>
      </c>
      <c r="P376" t="n">
        <v>0</v>
      </c>
      <c r="Q376" t="n">
        <v>0</v>
      </c>
      <c r="R376" s="2" t="inlineStr"/>
    </row>
    <row r="377" ht="15" customHeight="1">
      <c r="A377" t="inlineStr">
        <is>
          <t>A 43680-2024</t>
        </is>
      </c>
      <c r="B377" s="1" t="n">
        <v>45569.57216435186</v>
      </c>
      <c r="C377" s="1" t="n">
        <v>45886</v>
      </c>
      <c r="D377" t="inlineStr">
        <is>
          <t>VÄSTERBOTTENS LÄN</t>
        </is>
      </c>
      <c r="E377" t="inlineStr">
        <is>
          <t>STORUMAN</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28957-2023</t>
        </is>
      </c>
      <c r="B378" s="1" t="n">
        <v>45104</v>
      </c>
      <c r="C378" s="1" t="n">
        <v>45886</v>
      </c>
      <c r="D378" t="inlineStr">
        <is>
          <t>VÄSTERBOTTENS LÄN</t>
        </is>
      </c>
      <c r="E378" t="inlineStr">
        <is>
          <t>STORUMAN</t>
        </is>
      </c>
      <c r="F378" t="inlineStr">
        <is>
          <t>Sveaskog</t>
        </is>
      </c>
      <c r="G378" t="n">
        <v>6</v>
      </c>
      <c r="H378" t="n">
        <v>0</v>
      </c>
      <c r="I378" t="n">
        <v>0</v>
      </c>
      <c r="J378" t="n">
        <v>0</v>
      </c>
      <c r="K378" t="n">
        <v>0</v>
      </c>
      <c r="L378" t="n">
        <v>0</v>
      </c>
      <c r="M378" t="n">
        <v>0</v>
      </c>
      <c r="N378" t="n">
        <v>0</v>
      </c>
      <c r="O378" t="n">
        <v>0</v>
      </c>
      <c r="P378" t="n">
        <v>0</v>
      </c>
      <c r="Q378" t="n">
        <v>0</v>
      </c>
      <c r="R378" s="2" t="inlineStr"/>
    </row>
    <row r="379">
      <c r="A379" t="inlineStr">
        <is>
          <t>A 59777-2024</t>
        </is>
      </c>
      <c r="B379" s="1" t="n">
        <v>45638</v>
      </c>
      <c r="C379" s="1" t="n">
        <v>45886</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2025-08-17T08:29:55Z</dcterms:created>
  <dcterms:modified xmlns:dcterms="http://purl.org/dc/terms/" xmlns:xsi="http://www.w3.org/2001/XMLSchema-instance" xsi:type="dcterms:W3CDTF">2025-08-17T08:29:56Z</dcterms:modified>
</cp:coreProperties>
</file>