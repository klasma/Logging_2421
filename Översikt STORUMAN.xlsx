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45638</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45638</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45638</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45638</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45638</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45638</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45638</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45638</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45638</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45638</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45638</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45638</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45638</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45638</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45638</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45638</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45638</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45638</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45638</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45638</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45638</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45638</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45638</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45638</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45638</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45638</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45638</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45638</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45638</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45638</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45638</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45638</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45638</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45638</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45638</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45638</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45638</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45638</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45638</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45638</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45638</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45638</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45638</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45638</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45638</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45638</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45638</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45638</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45638</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45638</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40652-2021</t>
        </is>
      </c>
      <c r="B63" s="1" t="n">
        <v>44420</v>
      </c>
      <c r="C63" s="1" t="n">
        <v>45638</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3412-2022</t>
        </is>
      </c>
      <c r="B64" s="1" t="n">
        <v>44585</v>
      </c>
      <c r="C64" s="1" t="n">
        <v>45638</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20434-2022</t>
        </is>
      </c>
      <c r="B65" s="1" t="n">
        <v>44699</v>
      </c>
      <c r="C65" s="1" t="n">
        <v>45638</v>
      </c>
      <c r="D65" t="inlineStr">
        <is>
          <t>VÄSTERBOTTENS LÄN</t>
        </is>
      </c>
      <c r="E65" t="inlineStr">
        <is>
          <t>STORUMAN</t>
        </is>
      </c>
      <c r="G65" t="n">
        <v>5.6</v>
      </c>
      <c r="H65" t="n">
        <v>3</v>
      </c>
      <c r="I65" t="n">
        <v>0</v>
      </c>
      <c r="J65" t="n">
        <v>2</v>
      </c>
      <c r="K65" t="n">
        <v>1</v>
      </c>
      <c r="L65" t="n">
        <v>0</v>
      </c>
      <c r="M65" t="n">
        <v>0</v>
      </c>
      <c r="N65" t="n">
        <v>0</v>
      </c>
      <c r="O65" t="n">
        <v>3</v>
      </c>
      <c r="P65" t="n">
        <v>1</v>
      </c>
      <c r="Q65" t="n">
        <v>3</v>
      </c>
      <c r="R65" s="2" t="inlineStr">
        <is>
          <t>Knärot
Spillkråka
Tretåig hackspett</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44074-2023</t>
        </is>
      </c>
      <c r="B66" s="1" t="n">
        <v>45188</v>
      </c>
      <c r="C66" s="1" t="n">
        <v>45638</v>
      </c>
      <c r="D66" t="inlineStr">
        <is>
          <t>VÄSTERBOTTENS LÄN</t>
        </is>
      </c>
      <c r="E66" t="inlineStr">
        <is>
          <t>STORUMAN</t>
        </is>
      </c>
      <c r="G66" t="n">
        <v>5.3</v>
      </c>
      <c r="H66" t="n">
        <v>0</v>
      </c>
      <c r="I66" t="n">
        <v>3</v>
      </c>
      <c r="J66" t="n">
        <v>0</v>
      </c>
      <c r="K66" t="n">
        <v>0</v>
      </c>
      <c r="L66" t="n">
        <v>0</v>
      </c>
      <c r="M66" t="n">
        <v>0</v>
      </c>
      <c r="N66" t="n">
        <v>0</v>
      </c>
      <c r="O66" t="n">
        <v>0</v>
      </c>
      <c r="P66" t="n">
        <v>0</v>
      </c>
      <c r="Q66" t="n">
        <v>3</v>
      </c>
      <c r="R66" s="2" t="inlineStr">
        <is>
          <t>Stor aspticka
Svart trolldruva
Tibast</t>
        </is>
      </c>
      <c r="S66">
        <f>HYPERLINK("https://klasma.github.io/Logging_2421/artfynd/A 44074-2023 artfynd.xlsx", "A 44074-2023")</f>
        <v/>
      </c>
      <c r="T66">
        <f>HYPERLINK("https://klasma.github.io/Logging_2421/kartor/A 44074-2023 karta.png", "A 44074-2023")</f>
        <v/>
      </c>
      <c r="V66">
        <f>HYPERLINK("https://klasma.github.io/Logging_2421/klagomål/A 44074-2023 FSC-klagomål.docx", "A 44074-2023")</f>
        <v/>
      </c>
      <c r="W66">
        <f>HYPERLINK("https://klasma.github.io/Logging_2421/klagomålsmail/A 44074-2023 FSC-klagomål mail.docx", "A 44074-2023")</f>
        <v/>
      </c>
      <c r="X66">
        <f>HYPERLINK("https://klasma.github.io/Logging_2421/tillsyn/A 44074-2023 tillsynsbegäran.docx", "A 44074-2023")</f>
        <v/>
      </c>
      <c r="Y66">
        <f>HYPERLINK("https://klasma.github.io/Logging_2421/tillsynsmail/A 44074-2023 tillsynsbegäran mail.docx", "A 44074-2023")</f>
        <v/>
      </c>
    </row>
    <row r="67" ht="15" customHeight="1">
      <c r="A67" t="inlineStr">
        <is>
          <t>A 60880-2023</t>
        </is>
      </c>
      <c r="B67" s="1" t="n">
        <v>45259</v>
      </c>
      <c r="C67" s="1" t="n">
        <v>45638</v>
      </c>
      <c r="D67" t="inlineStr">
        <is>
          <t>VÄSTERBOTTENS LÄN</t>
        </is>
      </c>
      <c r="E67" t="inlineStr">
        <is>
          <t>STORUMAN</t>
        </is>
      </c>
      <c r="G67" t="n">
        <v>2.2</v>
      </c>
      <c r="H67" t="n">
        <v>3</v>
      </c>
      <c r="I67" t="n">
        <v>0</v>
      </c>
      <c r="J67" t="n">
        <v>2</v>
      </c>
      <c r="K67" t="n">
        <v>1</v>
      </c>
      <c r="L67" t="n">
        <v>0</v>
      </c>
      <c r="M67" t="n">
        <v>0</v>
      </c>
      <c r="N67" t="n">
        <v>0</v>
      </c>
      <c r="O67" t="n">
        <v>3</v>
      </c>
      <c r="P67" t="n">
        <v>1</v>
      </c>
      <c r="Q67" t="n">
        <v>3</v>
      </c>
      <c r="R67" s="2" t="inlineStr">
        <is>
          <t>Knärot
Spillkråka
Tretåig hackspett</t>
        </is>
      </c>
      <c r="S67">
        <f>HYPERLINK("https://klasma.github.io/Logging_2421/artfynd/A 60880-2023 artfynd.xlsx", "A 60880-2023")</f>
        <v/>
      </c>
      <c r="T67">
        <f>HYPERLINK("https://klasma.github.io/Logging_2421/kartor/A 60880-2023 karta.png", "A 60880-2023")</f>
        <v/>
      </c>
      <c r="U67">
        <f>HYPERLINK("https://klasma.github.io/Logging_2421/knärot/A 60880-2023 karta knärot.png", "A 60880-2023")</f>
        <v/>
      </c>
      <c r="V67">
        <f>HYPERLINK("https://klasma.github.io/Logging_2421/klagomål/A 60880-2023 FSC-klagomål.docx", "A 60880-2023")</f>
        <v/>
      </c>
      <c r="W67">
        <f>HYPERLINK("https://klasma.github.io/Logging_2421/klagomålsmail/A 60880-2023 FSC-klagomål mail.docx", "A 60880-2023")</f>
        <v/>
      </c>
      <c r="X67">
        <f>HYPERLINK("https://klasma.github.io/Logging_2421/tillsyn/A 60880-2023 tillsynsbegäran.docx", "A 60880-2023")</f>
        <v/>
      </c>
      <c r="Y67">
        <f>HYPERLINK("https://klasma.github.io/Logging_2421/tillsynsmail/A 60880-2023 tillsynsbegäran mail.docx", "A 60880-2023")</f>
        <v/>
      </c>
      <c r="Z67">
        <f>HYPERLINK("https://klasma.github.io/Logging_2421/fåglar/A 60880-2023 prioriterade fågelarter.docx", "A 60880-2023")</f>
        <v/>
      </c>
    </row>
    <row r="68" ht="15" customHeight="1">
      <c r="A68" t="inlineStr">
        <is>
          <t>A 42000-2019</t>
        </is>
      </c>
      <c r="B68" s="1" t="n">
        <v>43700</v>
      </c>
      <c r="C68" s="1" t="n">
        <v>45638</v>
      </c>
      <c r="D68" t="inlineStr">
        <is>
          <t>VÄSTERBOTTENS LÄN</t>
        </is>
      </c>
      <c r="E68" t="inlineStr">
        <is>
          <t>STORUMAN</t>
        </is>
      </c>
      <c r="F68" t="inlineStr">
        <is>
          <t>Holmen skog AB</t>
        </is>
      </c>
      <c r="G68" t="n">
        <v>18.4</v>
      </c>
      <c r="H68" t="n">
        <v>0</v>
      </c>
      <c r="I68" t="n">
        <v>0</v>
      </c>
      <c r="J68" t="n">
        <v>0</v>
      </c>
      <c r="K68" t="n">
        <v>2</v>
      </c>
      <c r="L68" t="n">
        <v>0</v>
      </c>
      <c r="M68" t="n">
        <v>0</v>
      </c>
      <c r="N68" t="n">
        <v>0</v>
      </c>
      <c r="O68" t="n">
        <v>2</v>
      </c>
      <c r="P68" t="n">
        <v>2</v>
      </c>
      <c r="Q68" t="n">
        <v>2</v>
      </c>
      <c r="R68" s="2" t="inlineStr">
        <is>
          <t>Liten sotlav
Ostticka</t>
        </is>
      </c>
      <c r="S68">
        <f>HYPERLINK("https://klasma.github.io/Logging_2421/artfynd/A 42000-2019 artfynd.xlsx", "A 42000-2019")</f>
        <v/>
      </c>
      <c r="T68">
        <f>HYPERLINK("https://klasma.github.io/Logging_2421/kartor/A 42000-2019 karta.png", "A 42000-2019")</f>
        <v/>
      </c>
      <c r="V68">
        <f>HYPERLINK("https://klasma.github.io/Logging_2421/klagomål/A 42000-2019 FSC-klagomål.docx", "A 42000-2019")</f>
        <v/>
      </c>
      <c r="W68">
        <f>HYPERLINK("https://klasma.github.io/Logging_2421/klagomålsmail/A 42000-2019 FSC-klagomål mail.docx", "A 42000-2019")</f>
        <v/>
      </c>
      <c r="X68">
        <f>HYPERLINK("https://klasma.github.io/Logging_2421/tillsyn/A 42000-2019 tillsynsbegäran.docx", "A 42000-2019")</f>
        <v/>
      </c>
      <c r="Y68">
        <f>HYPERLINK("https://klasma.github.io/Logging_2421/tillsynsmail/A 42000-2019 tillsynsbegäran mail.docx", "A 42000-2019")</f>
        <v/>
      </c>
    </row>
    <row r="69" ht="15" customHeight="1">
      <c r="A69" t="inlineStr">
        <is>
          <t>A 34276-2020</t>
        </is>
      </c>
      <c r="B69" s="1" t="n">
        <v>44029</v>
      </c>
      <c r="C69" s="1" t="n">
        <v>45638</v>
      </c>
      <c r="D69" t="inlineStr">
        <is>
          <t>VÄSTERBOTTENS LÄN</t>
        </is>
      </c>
      <c r="E69" t="inlineStr">
        <is>
          <t>STORUMAN</t>
        </is>
      </c>
      <c r="F69" t="inlineStr">
        <is>
          <t>SCA</t>
        </is>
      </c>
      <c r="G69" t="n">
        <v>3.5</v>
      </c>
      <c r="H69" t="n">
        <v>1</v>
      </c>
      <c r="I69" t="n">
        <v>0</v>
      </c>
      <c r="J69" t="n">
        <v>1</v>
      </c>
      <c r="K69" t="n">
        <v>1</v>
      </c>
      <c r="L69" t="n">
        <v>0</v>
      </c>
      <c r="M69" t="n">
        <v>0</v>
      </c>
      <c r="N69" t="n">
        <v>0</v>
      </c>
      <c r="O69" t="n">
        <v>2</v>
      </c>
      <c r="P69" t="n">
        <v>1</v>
      </c>
      <c r="Q69" t="n">
        <v>2</v>
      </c>
      <c r="R69" s="2" t="inlineStr">
        <is>
          <t>Goliatmusseron
Duvhök</t>
        </is>
      </c>
      <c r="S69">
        <f>HYPERLINK("https://klasma.github.io/Logging_2421/artfynd/A 34276-2020 artfynd.xlsx", "A 34276-2020")</f>
        <v/>
      </c>
      <c r="T69">
        <f>HYPERLINK("https://klasma.github.io/Logging_2421/kartor/A 34276-2020 karta.png", "A 34276-2020")</f>
        <v/>
      </c>
      <c r="V69">
        <f>HYPERLINK("https://klasma.github.io/Logging_2421/klagomål/A 34276-2020 FSC-klagomål.docx", "A 34276-2020")</f>
        <v/>
      </c>
      <c r="W69">
        <f>HYPERLINK("https://klasma.github.io/Logging_2421/klagomålsmail/A 34276-2020 FSC-klagomål mail.docx", "A 34276-2020")</f>
        <v/>
      </c>
      <c r="X69">
        <f>HYPERLINK("https://klasma.github.io/Logging_2421/tillsyn/A 34276-2020 tillsynsbegäran.docx", "A 34276-2020")</f>
        <v/>
      </c>
      <c r="Y69">
        <f>HYPERLINK("https://klasma.github.io/Logging_2421/tillsynsmail/A 34276-2020 tillsynsbegäran mail.docx", "A 34276-2020")</f>
        <v/>
      </c>
      <c r="Z69">
        <f>HYPERLINK("https://klasma.github.io/Logging_2421/fåglar/A 34276-2020 prioriterade fågelarter.docx", "A 34276-2020")</f>
        <v/>
      </c>
    </row>
    <row r="70" ht="15" customHeight="1">
      <c r="A70" t="inlineStr">
        <is>
          <t>A 68827-2020</t>
        </is>
      </c>
      <c r="B70" s="1" t="n">
        <v>44187</v>
      </c>
      <c r="C70" s="1" t="n">
        <v>45638</v>
      </c>
      <c r="D70" t="inlineStr">
        <is>
          <t>VÄSTERBOTTENS LÄN</t>
        </is>
      </c>
      <c r="E70" t="inlineStr">
        <is>
          <t>STORUMAN</t>
        </is>
      </c>
      <c r="G70" t="n">
        <v>5.1</v>
      </c>
      <c r="H70" t="n">
        <v>0</v>
      </c>
      <c r="I70" t="n">
        <v>0</v>
      </c>
      <c r="J70" t="n">
        <v>2</v>
      </c>
      <c r="K70" t="n">
        <v>0</v>
      </c>
      <c r="L70" t="n">
        <v>0</v>
      </c>
      <c r="M70" t="n">
        <v>0</v>
      </c>
      <c r="N70" t="n">
        <v>0</v>
      </c>
      <c r="O70" t="n">
        <v>2</v>
      </c>
      <c r="P70" t="n">
        <v>0</v>
      </c>
      <c r="Q70" t="n">
        <v>2</v>
      </c>
      <c r="R70" s="2" t="inlineStr">
        <is>
          <t>Garnlav
Lunglav</t>
        </is>
      </c>
      <c r="S70">
        <f>HYPERLINK("https://klasma.github.io/Logging_2421/artfynd/A 68827-2020 artfynd.xlsx", "A 68827-2020")</f>
        <v/>
      </c>
      <c r="T70">
        <f>HYPERLINK("https://klasma.github.io/Logging_2421/kartor/A 68827-2020 karta.png", "A 68827-2020")</f>
        <v/>
      </c>
      <c r="V70">
        <f>HYPERLINK("https://klasma.github.io/Logging_2421/klagomål/A 68827-2020 FSC-klagomål.docx", "A 68827-2020")</f>
        <v/>
      </c>
      <c r="W70">
        <f>HYPERLINK("https://klasma.github.io/Logging_2421/klagomålsmail/A 68827-2020 FSC-klagomål mail.docx", "A 68827-2020")</f>
        <v/>
      </c>
      <c r="X70">
        <f>HYPERLINK("https://klasma.github.io/Logging_2421/tillsyn/A 68827-2020 tillsynsbegäran.docx", "A 68827-2020")</f>
        <v/>
      </c>
      <c r="Y70">
        <f>HYPERLINK("https://klasma.github.io/Logging_2421/tillsynsmail/A 68827-2020 tillsynsbegäran mail.docx", "A 68827-2020")</f>
        <v/>
      </c>
    </row>
    <row r="71" ht="15" customHeight="1">
      <c r="A71" t="inlineStr">
        <is>
          <t>A 12321-2021</t>
        </is>
      </c>
      <c r="B71" s="1" t="n">
        <v>44266</v>
      </c>
      <c r="C71" s="1" t="n">
        <v>45638</v>
      </c>
      <c r="D71" t="inlineStr">
        <is>
          <t>VÄSTERBOTTENS LÄN</t>
        </is>
      </c>
      <c r="E71" t="inlineStr">
        <is>
          <t>STORUMAN</t>
        </is>
      </c>
      <c r="G71" t="n">
        <v>8</v>
      </c>
      <c r="H71" t="n">
        <v>0</v>
      </c>
      <c r="I71" t="n">
        <v>1</v>
      </c>
      <c r="J71" t="n">
        <v>1</v>
      </c>
      <c r="K71" t="n">
        <v>0</v>
      </c>
      <c r="L71" t="n">
        <v>0</v>
      </c>
      <c r="M71" t="n">
        <v>0</v>
      </c>
      <c r="N71" t="n">
        <v>0</v>
      </c>
      <c r="O71" t="n">
        <v>1</v>
      </c>
      <c r="P71" t="n">
        <v>0</v>
      </c>
      <c r="Q71" t="n">
        <v>2</v>
      </c>
      <c r="R71" s="2" t="inlineStr">
        <is>
          <t>Gammelgransskål
Svavelriska</t>
        </is>
      </c>
      <c r="S71">
        <f>HYPERLINK("https://klasma.github.io/Logging_2421/artfynd/A 12321-2021 artfynd.xlsx", "A 12321-2021")</f>
        <v/>
      </c>
      <c r="T71">
        <f>HYPERLINK("https://klasma.github.io/Logging_2421/kartor/A 12321-2021 karta.png", "A 12321-2021")</f>
        <v/>
      </c>
      <c r="V71">
        <f>HYPERLINK("https://klasma.github.io/Logging_2421/klagomål/A 12321-2021 FSC-klagomål.docx", "A 12321-2021")</f>
        <v/>
      </c>
      <c r="W71">
        <f>HYPERLINK("https://klasma.github.io/Logging_2421/klagomålsmail/A 12321-2021 FSC-klagomål mail.docx", "A 12321-2021")</f>
        <v/>
      </c>
      <c r="X71">
        <f>HYPERLINK("https://klasma.github.io/Logging_2421/tillsyn/A 12321-2021 tillsynsbegäran.docx", "A 12321-2021")</f>
        <v/>
      </c>
      <c r="Y71">
        <f>HYPERLINK("https://klasma.github.io/Logging_2421/tillsynsmail/A 12321-2021 tillsynsbegäran mail.docx", "A 12321-2021")</f>
        <v/>
      </c>
    </row>
    <row r="72" ht="15" customHeight="1">
      <c r="A72" t="inlineStr">
        <is>
          <t>A 29352-2021</t>
        </is>
      </c>
      <c r="B72" s="1" t="n">
        <v>44361</v>
      </c>
      <c r="C72" s="1" t="n">
        <v>45638</v>
      </c>
      <c r="D72" t="inlineStr">
        <is>
          <t>VÄSTERBOTTENS LÄN</t>
        </is>
      </c>
      <c r="E72" t="inlineStr">
        <is>
          <t>STORUMAN</t>
        </is>
      </c>
      <c r="F72" t="inlineStr">
        <is>
          <t>Sveaskog</t>
        </is>
      </c>
      <c r="G72" t="n">
        <v>5.4</v>
      </c>
      <c r="H72" t="n">
        <v>0</v>
      </c>
      <c r="I72" t="n">
        <v>1</v>
      </c>
      <c r="J72" t="n">
        <v>1</v>
      </c>
      <c r="K72" t="n">
        <v>0</v>
      </c>
      <c r="L72" t="n">
        <v>0</v>
      </c>
      <c r="M72" t="n">
        <v>0</v>
      </c>
      <c r="N72" t="n">
        <v>0</v>
      </c>
      <c r="O72" t="n">
        <v>1</v>
      </c>
      <c r="P72" t="n">
        <v>0</v>
      </c>
      <c r="Q72" t="n">
        <v>2</v>
      </c>
      <c r="R72" s="2" t="inlineStr">
        <is>
          <t>Lunglav
Stuplav</t>
        </is>
      </c>
      <c r="S72">
        <f>HYPERLINK("https://klasma.github.io/Logging_2421/artfynd/A 29352-2021 artfynd.xlsx", "A 29352-2021")</f>
        <v/>
      </c>
      <c r="T72">
        <f>HYPERLINK("https://klasma.github.io/Logging_2421/kartor/A 29352-2021 karta.png", "A 29352-2021")</f>
        <v/>
      </c>
      <c r="V72">
        <f>HYPERLINK("https://klasma.github.io/Logging_2421/klagomål/A 29352-2021 FSC-klagomål.docx", "A 29352-2021")</f>
        <v/>
      </c>
      <c r="W72">
        <f>HYPERLINK("https://klasma.github.io/Logging_2421/klagomålsmail/A 29352-2021 FSC-klagomål mail.docx", "A 29352-2021")</f>
        <v/>
      </c>
      <c r="X72">
        <f>HYPERLINK("https://klasma.github.io/Logging_2421/tillsyn/A 29352-2021 tillsynsbegäran.docx", "A 29352-2021")</f>
        <v/>
      </c>
      <c r="Y72">
        <f>HYPERLINK("https://klasma.github.io/Logging_2421/tillsynsmail/A 29352-2021 tillsynsbegäran mail.docx", "A 29352-2021")</f>
        <v/>
      </c>
    </row>
    <row r="73" ht="15" customHeight="1">
      <c r="A73" t="inlineStr">
        <is>
          <t>A 40939-2021</t>
        </is>
      </c>
      <c r="B73" s="1" t="n">
        <v>44421</v>
      </c>
      <c r="C73" s="1" t="n">
        <v>45638</v>
      </c>
      <c r="D73" t="inlineStr">
        <is>
          <t>VÄSTERBOTTENS LÄN</t>
        </is>
      </c>
      <c r="E73" t="inlineStr">
        <is>
          <t>STORUMAN</t>
        </is>
      </c>
      <c r="G73" t="n">
        <v>4.8</v>
      </c>
      <c r="H73" t="n">
        <v>1</v>
      </c>
      <c r="I73" t="n">
        <v>0</v>
      </c>
      <c r="J73" t="n">
        <v>1</v>
      </c>
      <c r="K73" t="n">
        <v>1</v>
      </c>
      <c r="L73" t="n">
        <v>0</v>
      </c>
      <c r="M73" t="n">
        <v>0</v>
      </c>
      <c r="N73" t="n">
        <v>0</v>
      </c>
      <c r="O73" t="n">
        <v>2</v>
      </c>
      <c r="P73" t="n">
        <v>1</v>
      </c>
      <c r="Q73" t="n">
        <v>2</v>
      </c>
      <c r="R73" s="2" t="inlineStr">
        <is>
          <t>Knärot
Lunglav</t>
        </is>
      </c>
      <c r="S73">
        <f>HYPERLINK("https://klasma.github.io/Logging_2421/artfynd/A 40939-2021 artfynd.xlsx", "A 40939-2021")</f>
        <v/>
      </c>
      <c r="T73">
        <f>HYPERLINK("https://klasma.github.io/Logging_2421/kartor/A 40939-2021 karta.png", "A 40939-2021")</f>
        <v/>
      </c>
      <c r="U73">
        <f>HYPERLINK("https://klasma.github.io/Logging_2421/knärot/A 40939-2021 karta knärot.png", "A 40939-2021")</f>
        <v/>
      </c>
      <c r="V73">
        <f>HYPERLINK("https://klasma.github.io/Logging_2421/klagomål/A 40939-2021 FSC-klagomål.docx", "A 40939-2021")</f>
        <v/>
      </c>
      <c r="W73">
        <f>HYPERLINK("https://klasma.github.io/Logging_2421/klagomålsmail/A 40939-2021 FSC-klagomål mail.docx", "A 40939-2021")</f>
        <v/>
      </c>
      <c r="X73">
        <f>HYPERLINK("https://klasma.github.io/Logging_2421/tillsyn/A 40939-2021 tillsynsbegäran.docx", "A 40939-2021")</f>
        <v/>
      </c>
      <c r="Y73">
        <f>HYPERLINK("https://klasma.github.io/Logging_2421/tillsynsmail/A 40939-2021 tillsynsbegäran mail.docx", "A 40939-2021")</f>
        <v/>
      </c>
    </row>
    <row r="74" ht="15" customHeight="1">
      <c r="A74" t="inlineStr">
        <is>
          <t>A 14070-2022</t>
        </is>
      </c>
      <c r="B74" s="1" t="n">
        <v>44650</v>
      </c>
      <c r="C74" s="1" t="n">
        <v>45638</v>
      </c>
      <c r="D74" t="inlineStr">
        <is>
          <t>VÄSTERBOTTENS LÄN</t>
        </is>
      </c>
      <c r="E74" t="inlineStr">
        <is>
          <t>STORUMAN</t>
        </is>
      </c>
      <c r="F74" t="inlineStr">
        <is>
          <t>Övriga statliga verk och myndigheter</t>
        </is>
      </c>
      <c r="G74" t="n">
        <v>14.1</v>
      </c>
      <c r="H74" t="n">
        <v>1</v>
      </c>
      <c r="I74" t="n">
        <v>0</v>
      </c>
      <c r="J74" t="n">
        <v>2</v>
      </c>
      <c r="K74" t="n">
        <v>0</v>
      </c>
      <c r="L74" t="n">
        <v>0</v>
      </c>
      <c r="M74" t="n">
        <v>0</v>
      </c>
      <c r="N74" t="n">
        <v>0</v>
      </c>
      <c r="O74" t="n">
        <v>2</v>
      </c>
      <c r="P74" t="n">
        <v>0</v>
      </c>
      <c r="Q74" t="n">
        <v>2</v>
      </c>
      <c r="R74" s="2" t="inlineStr">
        <is>
          <t>Granticka
Järpe</t>
        </is>
      </c>
      <c r="S74">
        <f>HYPERLINK("https://klasma.github.io/Logging_2421/artfynd/A 14070-2022 artfynd.xlsx", "A 14070-2022")</f>
        <v/>
      </c>
      <c r="T74">
        <f>HYPERLINK("https://klasma.github.io/Logging_2421/kartor/A 14070-2022 karta.png", "A 14070-2022")</f>
        <v/>
      </c>
      <c r="V74">
        <f>HYPERLINK("https://klasma.github.io/Logging_2421/klagomål/A 14070-2022 FSC-klagomål.docx", "A 14070-2022")</f>
        <v/>
      </c>
      <c r="W74">
        <f>HYPERLINK("https://klasma.github.io/Logging_2421/klagomålsmail/A 14070-2022 FSC-klagomål mail.docx", "A 14070-2022")</f>
        <v/>
      </c>
      <c r="X74">
        <f>HYPERLINK("https://klasma.github.io/Logging_2421/tillsyn/A 14070-2022 tillsynsbegäran.docx", "A 14070-2022")</f>
        <v/>
      </c>
      <c r="Y74">
        <f>HYPERLINK("https://klasma.github.io/Logging_2421/tillsynsmail/A 14070-2022 tillsynsbegäran mail.docx", "A 14070-2022")</f>
        <v/>
      </c>
      <c r="Z74">
        <f>HYPERLINK("https://klasma.github.io/Logging_2421/fåglar/A 14070-2022 prioriterade fågelarter.docx", "A 14070-2022")</f>
        <v/>
      </c>
    </row>
    <row r="75" ht="15" customHeight="1">
      <c r="A75" t="inlineStr">
        <is>
          <t>A 25524-2022</t>
        </is>
      </c>
      <c r="B75" s="1" t="n">
        <v>44732</v>
      </c>
      <c r="C75" s="1" t="n">
        <v>45638</v>
      </c>
      <c r="D75" t="inlineStr">
        <is>
          <t>VÄSTERBOTTENS LÄN</t>
        </is>
      </c>
      <c r="E75" t="inlineStr">
        <is>
          <t>STORUMAN</t>
        </is>
      </c>
      <c r="F75" t="inlineStr">
        <is>
          <t>Sveaskog</t>
        </is>
      </c>
      <c r="G75" t="n">
        <v>3.8</v>
      </c>
      <c r="H75" t="n">
        <v>0</v>
      </c>
      <c r="I75" t="n">
        <v>0</v>
      </c>
      <c r="J75" t="n">
        <v>1</v>
      </c>
      <c r="K75" t="n">
        <v>1</v>
      </c>
      <c r="L75" t="n">
        <v>0</v>
      </c>
      <c r="M75" t="n">
        <v>0</v>
      </c>
      <c r="N75" t="n">
        <v>0</v>
      </c>
      <c r="O75" t="n">
        <v>2</v>
      </c>
      <c r="P75" t="n">
        <v>1</v>
      </c>
      <c r="Q75" t="n">
        <v>2</v>
      </c>
      <c r="R75" s="2" t="inlineStr">
        <is>
          <t>Grantickeporing
Granticka</t>
        </is>
      </c>
      <c r="S75">
        <f>HYPERLINK("https://klasma.github.io/Logging_2421/artfynd/A 25524-2022 artfynd.xlsx", "A 25524-2022")</f>
        <v/>
      </c>
      <c r="T75">
        <f>HYPERLINK("https://klasma.github.io/Logging_2421/kartor/A 25524-2022 karta.png", "A 25524-2022")</f>
        <v/>
      </c>
      <c r="V75">
        <f>HYPERLINK("https://klasma.github.io/Logging_2421/klagomål/A 25524-2022 FSC-klagomål.docx", "A 25524-2022")</f>
        <v/>
      </c>
      <c r="W75">
        <f>HYPERLINK("https://klasma.github.io/Logging_2421/klagomålsmail/A 25524-2022 FSC-klagomål mail.docx", "A 25524-2022")</f>
        <v/>
      </c>
      <c r="X75">
        <f>HYPERLINK("https://klasma.github.io/Logging_2421/tillsyn/A 25524-2022 tillsynsbegäran.docx", "A 25524-2022")</f>
        <v/>
      </c>
      <c r="Y75">
        <f>HYPERLINK("https://klasma.github.io/Logging_2421/tillsynsmail/A 25524-2022 tillsynsbegäran mail.docx", "A 25524-2022")</f>
        <v/>
      </c>
    </row>
    <row r="76" ht="15" customHeight="1">
      <c r="A76" t="inlineStr">
        <is>
          <t>A 39237-2022</t>
        </is>
      </c>
      <c r="B76" s="1" t="n">
        <v>44817</v>
      </c>
      <c r="C76" s="1" t="n">
        <v>45638</v>
      </c>
      <c r="D76" t="inlineStr">
        <is>
          <t>VÄSTERBOTTENS LÄN</t>
        </is>
      </c>
      <c r="E76" t="inlineStr">
        <is>
          <t>STORUMAN</t>
        </is>
      </c>
      <c r="F76" t="inlineStr">
        <is>
          <t>Sveaskog</t>
        </is>
      </c>
      <c r="G76" t="n">
        <v>1.1</v>
      </c>
      <c r="H76" t="n">
        <v>1</v>
      </c>
      <c r="I76" t="n">
        <v>1</v>
      </c>
      <c r="J76" t="n">
        <v>0</v>
      </c>
      <c r="K76" t="n">
        <v>0</v>
      </c>
      <c r="L76" t="n">
        <v>0</v>
      </c>
      <c r="M76" t="n">
        <v>0</v>
      </c>
      <c r="N76" t="n">
        <v>0</v>
      </c>
      <c r="O76" t="n">
        <v>0</v>
      </c>
      <c r="P76" t="n">
        <v>0</v>
      </c>
      <c r="Q76" t="n">
        <v>2</v>
      </c>
      <c r="R76" s="2" t="inlineStr">
        <is>
          <t>Skarp dropptaggsvamp
Lavskrika</t>
        </is>
      </c>
      <c r="S76">
        <f>HYPERLINK("https://klasma.github.io/Logging_2421/artfynd/A 39237-2022 artfynd.xlsx", "A 39237-2022")</f>
        <v/>
      </c>
      <c r="T76">
        <f>HYPERLINK("https://klasma.github.io/Logging_2421/kartor/A 39237-2022 karta.png", "A 39237-2022")</f>
        <v/>
      </c>
      <c r="V76">
        <f>HYPERLINK("https://klasma.github.io/Logging_2421/klagomål/A 39237-2022 FSC-klagomål.docx", "A 39237-2022")</f>
        <v/>
      </c>
      <c r="W76">
        <f>HYPERLINK("https://klasma.github.io/Logging_2421/klagomålsmail/A 39237-2022 FSC-klagomål mail.docx", "A 39237-2022")</f>
        <v/>
      </c>
      <c r="X76">
        <f>HYPERLINK("https://klasma.github.io/Logging_2421/tillsyn/A 39237-2022 tillsynsbegäran.docx", "A 39237-2022")</f>
        <v/>
      </c>
      <c r="Y76">
        <f>HYPERLINK("https://klasma.github.io/Logging_2421/tillsynsmail/A 39237-2022 tillsynsbegäran mail.docx", "A 39237-2022")</f>
        <v/>
      </c>
      <c r="Z76">
        <f>HYPERLINK("https://klasma.github.io/Logging_2421/fåglar/A 39237-2022 prioriterade fågelarter.docx", "A 39237-2022")</f>
        <v/>
      </c>
    </row>
    <row r="77" ht="15" customHeight="1">
      <c r="A77" t="inlineStr">
        <is>
          <t>A 3893-2023</t>
        </is>
      </c>
      <c r="B77" s="1" t="n">
        <v>44951</v>
      </c>
      <c r="C77" s="1" t="n">
        <v>45638</v>
      </c>
      <c r="D77" t="inlineStr">
        <is>
          <t>VÄSTERBOTTENS LÄN</t>
        </is>
      </c>
      <c r="E77" t="inlineStr">
        <is>
          <t>STORUMAN</t>
        </is>
      </c>
      <c r="F77" t="inlineStr">
        <is>
          <t>SCA</t>
        </is>
      </c>
      <c r="G77" t="n">
        <v>2.1</v>
      </c>
      <c r="H77" t="n">
        <v>0</v>
      </c>
      <c r="I77" t="n">
        <v>1</v>
      </c>
      <c r="J77" t="n">
        <v>1</v>
      </c>
      <c r="K77" t="n">
        <v>0</v>
      </c>
      <c r="L77" t="n">
        <v>0</v>
      </c>
      <c r="M77" t="n">
        <v>0</v>
      </c>
      <c r="N77" t="n">
        <v>0</v>
      </c>
      <c r="O77" t="n">
        <v>1</v>
      </c>
      <c r="P77" t="n">
        <v>0</v>
      </c>
      <c r="Q77" t="n">
        <v>2</v>
      </c>
      <c r="R77" s="2" t="inlineStr">
        <is>
          <t>Talltaggsvamp
Skarp dropptaggsvamp</t>
        </is>
      </c>
      <c r="S77">
        <f>HYPERLINK("https://klasma.github.io/Logging_2421/artfynd/A 3893-2023 artfynd.xlsx", "A 3893-2023")</f>
        <v/>
      </c>
      <c r="T77">
        <f>HYPERLINK("https://klasma.github.io/Logging_2421/kartor/A 3893-2023 karta.png", "A 3893-2023")</f>
        <v/>
      </c>
      <c r="V77">
        <f>HYPERLINK("https://klasma.github.io/Logging_2421/klagomål/A 3893-2023 FSC-klagomål.docx", "A 3893-2023")</f>
        <v/>
      </c>
      <c r="W77">
        <f>HYPERLINK("https://klasma.github.io/Logging_2421/klagomålsmail/A 3893-2023 FSC-klagomål mail.docx", "A 3893-2023")</f>
        <v/>
      </c>
      <c r="X77">
        <f>HYPERLINK("https://klasma.github.io/Logging_2421/tillsyn/A 3893-2023 tillsynsbegäran.docx", "A 3893-2023")</f>
        <v/>
      </c>
      <c r="Y77">
        <f>HYPERLINK("https://klasma.github.io/Logging_2421/tillsynsmail/A 3893-2023 tillsynsbegäran mail.docx", "A 3893-2023")</f>
        <v/>
      </c>
    </row>
    <row r="78" ht="15" customHeight="1">
      <c r="A78" t="inlineStr">
        <is>
          <t>A 5450-2023</t>
        </is>
      </c>
      <c r="B78" s="1" t="n">
        <v>44959</v>
      </c>
      <c r="C78" s="1" t="n">
        <v>45638</v>
      </c>
      <c r="D78" t="inlineStr">
        <is>
          <t>VÄSTERBOTTENS LÄN</t>
        </is>
      </c>
      <c r="E78" t="inlineStr">
        <is>
          <t>STORUMAN</t>
        </is>
      </c>
      <c r="F78" t="inlineStr">
        <is>
          <t>SCA</t>
        </is>
      </c>
      <c r="G78" t="n">
        <v>8.4</v>
      </c>
      <c r="H78" t="n">
        <v>2</v>
      </c>
      <c r="I78" t="n">
        <v>0</v>
      </c>
      <c r="J78" t="n">
        <v>1</v>
      </c>
      <c r="K78" t="n">
        <v>1</v>
      </c>
      <c r="L78" t="n">
        <v>0</v>
      </c>
      <c r="M78" t="n">
        <v>0</v>
      </c>
      <c r="N78" t="n">
        <v>0</v>
      </c>
      <c r="O78" t="n">
        <v>2</v>
      </c>
      <c r="P78" t="n">
        <v>1</v>
      </c>
      <c r="Q78" t="n">
        <v>2</v>
      </c>
      <c r="R78" s="2" t="inlineStr">
        <is>
          <t>Knärot
Tretåig hackspett</t>
        </is>
      </c>
      <c r="S78">
        <f>HYPERLINK("https://klasma.github.io/Logging_2421/artfynd/A 5450-2023 artfynd.xlsx", "A 5450-2023")</f>
        <v/>
      </c>
      <c r="T78">
        <f>HYPERLINK("https://klasma.github.io/Logging_2421/kartor/A 5450-2023 karta.png", "A 5450-2023")</f>
        <v/>
      </c>
      <c r="U78">
        <f>HYPERLINK("https://klasma.github.io/Logging_2421/knärot/A 5450-2023 karta knärot.png", "A 5450-2023")</f>
        <v/>
      </c>
      <c r="V78">
        <f>HYPERLINK("https://klasma.github.io/Logging_2421/klagomål/A 5450-2023 FSC-klagomål.docx", "A 5450-2023")</f>
        <v/>
      </c>
      <c r="W78">
        <f>HYPERLINK("https://klasma.github.io/Logging_2421/klagomålsmail/A 5450-2023 FSC-klagomål mail.docx", "A 5450-2023")</f>
        <v/>
      </c>
      <c r="X78">
        <f>HYPERLINK("https://klasma.github.io/Logging_2421/tillsyn/A 5450-2023 tillsynsbegäran.docx", "A 5450-2023")</f>
        <v/>
      </c>
      <c r="Y78">
        <f>HYPERLINK("https://klasma.github.io/Logging_2421/tillsynsmail/A 5450-2023 tillsynsbegäran mail.docx", "A 5450-2023")</f>
        <v/>
      </c>
      <c r="Z78">
        <f>HYPERLINK("https://klasma.github.io/Logging_2421/fåglar/A 5450-2023 prioriterade fågelarter.docx", "A 5450-2023")</f>
        <v/>
      </c>
    </row>
    <row r="79" ht="15" customHeight="1">
      <c r="A79" t="inlineStr">
        <is>
          <t>A 34892-2024</t>
        </is>
      </c>
      <c r="B79" s="1" t="n">
        <v>45527</v>
      </c>
      <c r="C79" s="1" t="n">
        <v>45638</v>
      </c>
      <c r="D79" t="inlineStr">
        <is>
          <t>VÄSTERBOTTENS LÄN</t>
        </is>
      </c>
      <c r="E79" t="inlineStr">
        <is>
          <t>STORUMAN</t>
        </is>
      </c>
      <c r="F79" t="inlineStr">
        <is>
          <t>SCA</t>
        </is>
      </c>
      <c r="G79" t="n">
        <v>5.7</v>
      </c>
      <c r="H79" t="n">
        <v>2</v>
      </c>
      <c r="I79" t="n">
        <v>2</v>
      </c>
      <c r="J79" t="n">
        <v>0</v>
      </c>
      <c r="K79" t="n">
        <v>0</v>
      </c>
      <c r="L79" t="n">
        <v>0</v>
      </c>
      <c r="M79" t="n">
        <v>0</v>
      </c>
      <c r="N79" t="n">
        <v>0</v>
      </c>
      <c r="O79" t="n">
        <v>0</v>
      </c>
      <c r="P79" t="n">
        <v>0</v>
      </c>
      <c r="Q79" t="n">
        <v>2</v>
      </c>
      <c r="R79" s="2" t="inlineStr">
        <is>
          <t>Plattlummer
Spindelblomster</t>
        </is>
      </c>
      <c r="S79">
        <f>HYPERLINK("https://klasma.github.io/Logging_2421/artfynd/A 34892-2024 artfynd.xlsx", "A 34892-2024")</f>
        <v/>
      </c>
      <c r="T79">
        <f>HYPERLINK("https://klasma.github.io/Logging_2421/kartor/A 34892-2024 karta.png", "A 34892-2024")</f>
        <v/>
      </c>
      <c r="U79">
        <f>HYPERLINK("https://klasma.github.io/Logging_2421/knärot/A 34892-2024 karta knärot.png", "A 34892-2024")</f>
        <v/>
      </c>
      <c r="V79">
        <f>HYPERLINK("https://klasma.github.io/Logging_2421/klagomål/A 34892-2024 FSC-klagomål.docx", "A 34892-2024")</f>
        <v/>
      </c>
      <c r="W79">
        <f>HYPERLINK("https://klasma.github.io/Logging_2421/klagomålsmail/A 34892-2024 FSC-klagomål mail.docx", "A 34892-2024")</f>
        <v/>
      </c>
      <c r="X79">
        <f>HYPERLINK("https://klasma.github.io/Logging_2421/tillsyn/A 34892-2024 tillsynsbegäran.docx", "A 34892-2024")</f>
        <v/>
      </c>
      <c r="Y79">
        <f>HYPERLINK("https://klasma.github.io/Logging_2421/tillsynsmail/A 34892-2024 tillsynsbegäran mail.docx", "A 34892-2024")</f>
        <v/>
      </c>
    </row>
    <row r="80" ht="15" customHeight="1">
      <c r="A80" t="inlineStr">
        <is>
          <t>A 56907-2019</t>
        </is>
      </c>
      <c r="B80" s="1" t="n">
        <v>43766</v>
      </c>
      <c r="C80" s="1" t="n">
        <v>45638</v>
      </c>
      <c r="D80" t="inlineStr">
        <is>
          <t>VÄSTERBOTTENS LÄN</t>
        </is>
      </c>
      <c r="E80" t="inlineStr">
        <is>
          <t>STORUMAN</t>
        </is>
      </c>
      <c r="F80" t="inlineStr">
        <is>
          <t>Sveaskog</t>
        </is>
      </c>
      <c r="G80" t="n">
        <v>2</v>
      </c>
      <c r="H80" t="n">
        <v>0</v>
      </c>
      <c r="I80" t="n">
        <v>1</v>
      </c>
      <c r="J80" t="n">
        <v>0</v>
      </c>
      <c r="K80" t="n">
        <v>0</v>
      </c>
      <c r="L80" t="n">
        <v>0</v>
      </c>
      <c r="M80" t="n">
        <v>0</v>
      </c>
      <c r="N80" t="n">
        <v>0</v>
      </c>
      <c r="O80" t="n">
        <v>0</v>
      </c>
      <c r="P80" t="n">
        <v>0</v>
      </c>
      <c r="Q80" t="n">
        <v>1</v>
      </c>
      <c r="R80" s="2" t="inlineStr">
        <is>
          <t>Skinnlav</t>
        </is>
      </c>
      <c r="S80">
        <f>HYPERLINK("https://klasma.github.io/Logging_2421/artfynd/A 56907-2019 artfynd.xlsx", "A 56907-2019")</f>
        <v/>
      </c>
      <c r="T80">
        <f>HYPERLINK("https://klasma.github.io/Logging_2421/kartor/A 56907-2019 karta.png", "A 56907-2019")</f>
        <v/>
      </c>
      <c r="V80">
        <f>HYPERLINK("https://klasma.github.io/Logging_2421/klagomål/A 56907-2019 FSC-klagomål.docx", "A 56907-2019")</f>
        <v/>
      </c>
      <c r="W80">
        <f>HYPERLINK("https://klasma.github.io/Logging_2421/klagomålsmail/A 56907-2019 FSC-klagomål mail.docx", "A 56907-2019")</f>
        <v/>
      </c>
      <c r="X80">
        <f>HYPERLINK("https://klasma.github.io/Logging_2421/tillsyn/A 56907-2019 tillsynsbegäran.docx", "A 56907-2019")</f>
        <v/>
      </c>
      <c r="Y80">
        <f>HYPERLINK("https://klasma.github.io/Logging_2421/tillsynsmail/A 56907-2019 tillsynsbegäran mail.docx", "A 56907-2019")</f>
        <v/>
      </c>
    </row>
    <row r="81" ht="15" customHeight="1">
      <c r="A81" t="inlineStr">
        <is>
          <t>A 59249-2019</t>
        </is>
      </c>
      <c r="B81" s="1" t="n">
        <v>43775</v>
      </c>
      <c r="C81" s="1" t="n">
        <v>45638</v>
      </c>
      <c r="D81" t="inlineStr">
        <is>
          <t>VÄSTERBOTTENS LÄN</t>
        </is>
      </c>
      <c r="E81" t="inlineStr">
        <is>
          <t>STORUMAN</t>
        </is>
      </c>
      <c r="F81" t="inlineStr">
        <is>
          <t>Sveaskog</t>
        </is>
      </c>
      <c r="G81" t="n">
        <v>4.1</v>
      </c>
      <c r="H81" t="n">
        <v>1</v>
      </c>
      <c r="I81" t="n">
        <v>0</v>
      </c>
      <c r="J81" t="n">
        <v>0</v>
      </c>
      <c r="K81" t="n">
        <v>0</v>
      </c>
      <c r="L81" t="n">
        <v>0</v>
      </c>
      <c r="M81" t="n">
        <v>0</v>
      </c>
      <c r="N81" t="n">
        <v>0</v>
      </c>
      <c r="O81" t="n">
        <v>0</v>
      </c>
      <c r="P81" t="n">
        <v>0</v>
      </c>
      <c r="Q81" t="n">
        <v>1</v>
      </c>
      <c r="R81" s="2" t="inlineStr">
        <is>
          <t>Tjäder</t>
        </is>
      </c>
      <c r="S81">
        <f>HYPERLINK("https://klasma.github.io/Logging_2421/artfynd/A 59249-2019 artfynd.xlsx", "A 59249-2019")</f>
        <v/>
      </c>
      <c r="T81">
        <f>HYPERLINK("https://klasma.github.io/Logging_2421/kartor/A 59249-2019 karta.png", "A 59249-2019")</f>
        <v/>
      </c>
      <c r="V81">
        <f>HYPERLINK("https://klasma.github.io/Logging_2421/klagomål/A 59249-2019 FSC-klagomål.docx", "A 59249-2019")</f>
        <v/>
      </c>
      <c r="W81">
        <f>HYPERLINK("https://klasma.github.io/Logging_2421/klagomålsmail/A 59249-2019 FSC-klagomål mail.docx", "A 59249-2019")</f>
        <v/>
      </c>
      <c r="X81">
        <f>HYPERLINK("https://klasma.github.io/Logging_2421/tillsyn/A 59249-2019 tillsynsbegäran.docx", "A 59249-2019")</f>
        <v/>
      </c>
      <c r="Y81">
        <f>HYPERLINK("https://klasma.github.io/Logging_2421/tillsynsmail/A 59249-2019 tillsynsbegäran mail.docx", "A 59249-2019")</f>
        <v/>
      </c>
      <c r="Z81">
        <f>HYPERLINK("https://klasma.github.io/Logging_2421/fåglar/A 59249-2019 prioriterade fågelarter.docx", "A 59249-2019")</f>
        <v/>
      </c>
    </row>
    <row r="82" ht="15" customHeight="1">
      <c r="A82" t="inlineStr">
        <is>
          <t>A 63673-2019</t>
        </is>
      </c>
      <c r="B82" s="1" t="n">
        <v>43789</v>
      </c>
      <c r="C82" s="1" t="n">
        <v>45638</v>
      </c>
      <c r="D82" t="inlineStr">
        <is>
          <t>VÄSTERBOTTENS LÄN</t>
        </is>
      </c>
      <c r="E82" t="inlineStr">
        <is>
          <t>STORUMAN</t>
        </is>
      </c>
      <c r="G82" t="n">
        <v>4.1</v>
      </c>
      <c r="H82" t="n">
        <v>1</v>
      </c>
      <c r="I82" t="n">
        <v>0</v>
      </c>
      <c r="J82" t="n">
        <v>0</v>
      </c>
      <c r="K82" t="n">
        <v>1</v>
      </c>
      <c r="L82" t="n">
        <v>0</v>
      </c>
      <c r="M82" t="n">
        <v>0</v>
      </c>
      <c r="N82" t="n">
        <v>0</v>
      </c>
      <c r="O82" t="n">
        <v>1</v>
      </c>
      <c r="P82" t="n">
        <v>1</v>
      </c>
      <c r="Q82" t="n">
        <v>1</v>
      </c>
      <c r="R82" s="2" t="inlineStr">
        <is>
          <t>Doftticka</t>
        </is>
      </c>
      <c r="S82">
        <f>HYPERLINK("https://klasma.github.io/Logging_2421/artfynd/A 63673-2019 artfynd.xlsx", "A 63673-2019")</f>
        <v/>
      </c>
      <c r="T82">
        <f>HYPERLINK("https://klasma.github.io/Logging_2421/kartor/A 63673-2019 karta.png", "A 63673-2019")</f>
        <v/>
      </c>
      <c r="V82">
        <f>HYPERLINK("https://klasma.github.io/Logging_2421/klagomål/A 63673-2019 FSC-klagomål.docx", "A 63673-2019")</f>
        <v/>
      </c>
      <c r="W82">
        <f>HYPERLINK("https://klasma.github.io/Logging_2421/klagomålsmail/A 63673-2019 FSC-klagomål mail.docx", "A 63673-2019")</f>
        <v/>
      </c>
      <c r="X82">
        <f>HYPERLINK("https://klasma.github.io/Logging_2421/tillsyn/A 63673-2019 tillsynsbegäran.docx", "A 63673-2019")</f>
        <v/>
      </c>
      <c r="Y82">
        <f>HYPERLINK("https://klasma.github.io/Logging_2421/tillsynsmail/A 63673-2019 tillsynsbegäran mail.docx", "A 63673-2019")</f>
        <v/>
      </c>
    </row>
    <row r="83" ht="15" customHeight="1">
      <c r="A83" t="inlineStr">
        <is>
          <t>A 40662-2020</t>
        </is>
      </c>
      <c r="B83" s="1" t="n">
        <v>44069</v>
      </c>
      <c r="C83" s="1" t="n">
        <v>45638</v>
      </c>
      <c r="D83" t="inlineStr">
        <is>
          <t>VÄSTERBOTTENS LÄN</t>
        </is>
      </c>
      <c r="E83" t="inlineStr">
        <is>
          <t>STORUMAN</t>
        </is>
      </c>
      <c r="G83" t="n">
        <v>1.7</v>
      </c>
      <c r="H83" t="n">
        <v>1</v>
      </c>
      <c r="I83" t="n">
        <v>0</v>
      </c>
      <c r="J83" t="n">
        <v>0</v>
      </c>
      <c r="K83" t="n">
        <v>0</v>
      </c>
      <c r="L83" t="n">
        <v>0</v>
      </c>
      <c r="M83" t="n">
        <v>0</v>
      </c>
      <c r="N83" t="n">
        <v>0</v>
      </c>
      <c r="O83" t="n">
        <v>0</v>
      </c>
      <c r="P83" t="n">
        <v>0</v>
      </c>
      <c r="Q83" t="n">
        <v>1</v>
      </c>
      <c r="R83" s="2" t="inlineStr">
        <is>
          <t>Lavskrika</t>
        </is>
      </c>
      <c r="S83">
        <f>HYPERLINK("https://klasma.github.io/Logging_2421/artfynd/A 40662-2020 artfynd.xlsx", "A 40662-2020")</f>
        <v/>
      </c>
      <c r="T83">
        <f>HYPERLINK("https://klasma.github.io/Logging_2421/kartor/A 40662-2020 karta.png", "A 40662-2020")</f>
        <v/>
      </c>
      <c r="V83">
        <f>HYPERLINK("https://klasma.github.io/Logging_2421/klagomål/A 40662-2020 FSC-klagomål.docx", "A 40662-2020")</f>
        <v/>
      </c>
      <c r="W83">
        <f>HYPERLINK("https://klasma.github.io/Logging_2421/klagomålsmail/A 40662-2020 FSC-klagomål mail.docx", "A 40662-2020")</f>
        <v/>
      </c>
      <c r="X83">
        <f>HYPERLINK("https://klasma.github.io/Logging_2421/tillsyn/A 40662-2020 tillsynsbegäran.docx", "A 40662-2020")</f>
        <v/>
      </c>
      <c r="Y83">
        <f>HYPERLINK("https://klasma.github.io/Logging_2421/tillsynsmail/A 40662-2020 tillsynsbegäran mail.docx", "A 40662-2020")</f>
        <v/>
      </c>
      <c r="Z83">
        <f>HYPERLINK("https://klasma.github.io/Logging_2421/fåglar/A 40662-2020 prioriterade fågelarter.docx", "A 40662-2020")</f>
        <v/>
      </c>
    </row>
    <row r="84" ht="15" customHeight="1">
      <c r="A84" t="inlineStr">
        <is>
          <t>A 3502-2021</t>
        </is>
      </c>
      <c r="B84" s="1" t="n">
        <v>44218</v>
      </c>
      <c r="C84" s="1" t="n">
        <v>45638</v>
      </c>
      <c r="D84" t="inlineStr">
        <is>
          <t>VÄSTERBOTTENS LÄN</t>
        </is>
      </c>
      <c r="E84" t="inlineStr">
        <is>
          <t>STORUMAN</t>
        </is>
      </c>
      <c r="F84" t="inlineStr">
        <is>
          <t>Sveaskog</t>
        </is>
      </c>
      <c r="G84" t="n">
        <v>4.3</v>
      </c>
      <c r="H84" t="n">
        <v>0</v>
      </c>
      <c r="I84" t="n">
        <v>1</v>
      </c>
      <c r="J84" t="n">
        <v>0</v>
      </c>
      <c r="K84" t="n">
        <v>0</v>
      </c>
      <c r="L84" t="n">
        <v>0</v>
      </c>
      <c r="M84" t="n">
        <v>0</v>
      </c>
      <c r="N84" t="n">
        <v>0</v>
      </c>
      <c r="O84" t="n">
        <v>0</v>
      </c>
      <c r="P84" t="n">
        <v>0</v>
      </c>
      <c r="Q84" t="n">
        <v>1</v>
      </c>
      <c r="R84" s="2" t="inlineStr">
        <is>
          <t>Stuplav</t>
        </is>
      </c>
      <c r="S84">
        <f>HYPERLINK("https://klasma.github.io/Logging_2421/artfynd/A 3502-2021 artfynd.xlsx", "A 3502-2021")</f>
        <v/>
      </c>
      <c r="T84">
        <f>HYPERLINK("https://klasma.github.io/Logging_2421/kartor/A 3502-2021 karta.png", "A 3502-2021")</f>
        <v/>
      </c>
      <c r="V84">
        <f>HYPERLINK("https://klasma.github.io/Logging_2421/klagomål/A 3502-2021 FSC-klagomål.docx", "A 3502-2021")</f>
        <v/>
      </c>
      <c r="W84">
        <f>HYPERLINK("https://klasma.github.io/Logging_2421/klagomålsmail/A 3502-2021 FSC-klagomål mail.docx", "A 3502-2021")</f>
        <v/>
      </c>
      <c r="X84">
        <f>HYPERLINK("https://klasma.github.io/Logging_2421/tillsyn/A 3502-2021 tillsynsbegäran.docx", "A 3502-2021")</f>
        <v/>
      </c>
      <c r="Y84">
        <f>HYPERLINK("https://klasma.github.io/Logging_2421/tillsynsmail/A 3502-2021 tillsynsbegäran mail.docx", "A 3502-2021")</f>
        <v/>
      </c>
    </row>
    <row r="85" ht="15" customHeight="1">
      <c r="A85" t="inlineStr">
        <is>
          <t>A 6210-2021</t>
        </is>
      </c>
      <c r="B85" s="1" t="n">
        <v>44232</v>
      </c>
      <c r="C85" s="1" t="n">
        <v>45638</v>
      </c>
      <c r="D85" t="inlineStr">
        <is>
          <t>VÄSTERBOTTENS LÄN</t>
        </is>
      </c>
      <c r="E85" t="inlineStr">
        <is>
          <t>STORUMAN</t>
        </is>
      </c>
      <c r="G85" t="n">
        <v>14</v>
      </c>
      <c r="H85" t="n">
        <v>0</v>
      </c>
      <c r="I85" t="n">
        <v>0</v>
      </c>
      <c r="J85" t="n">
        <v>1</v>
      </c>
      <c r="K85" t="n">
        <v>0</v>
      </c>
      <c r="L85" t="n">
        <v>0</v>
      </c>
      <c r="M85" t="n">
        <v>0</v>
      </c>
      <c r="N85" t="n">
        <v>0</v>
      </c>
      <c r="O85" t="n">
        <v>1</v>
      </c>
      <c r="P85" t="n">
        <v>0</v>
      </c>
      <c r="Q85" t="n">
        <v>1</v>
      </c>
      <c r="R85" s="2" t="inlineStr">
        <is>
          <t>Granticka</t>
        </is>
      </c>
      <c r="S85">
        <f>HYPERLINK("https://klasma.github.io/Logging_2421/artfynd/A 6210-2021 artfynd.xlsx", "A 6210-2021")</f>
        <v/>
      </c>
      <c r="T85">
        <f>HYPERLINK("https://klasma.github.io/Logging_2421/kartor/A 6210-2021 karta.png", "A 6210-2021")</f>
        <v/>
      </c>
      <c r="V85">
        <f>HYPERLINK("https://klasma.github.io/Logging_2421/klagomål/A 6210-2021 FSC-klagomål.docx", "A 6210-2021")</f>
        <v/>
      </c>
      <c r="W85">
        <f>HYPERLINK("https://klasma.github.io/Logging_2421/klagomålsmail/A 6210-2021 FSC-klagomål mail.docx", "A 6210-2021")</f>
        <v/>
      </c>
      <c r="X85">
        <f>HYPERLINK("https://klasma.github.io/Logging_2421/tillsyn/A 6210-2021 tillsynsbegäran.docx", "A 6210-2021")</f>
        <v/>
      </c>
      <c r="Y85">
        <f>HYPERLINK("https://klasma.github.io/Logging_2421/tillsynsmail/A 6210-2021 tillsynsbegäran mail.docx", "A 6210-2021")</f>
        <v/>
      </c>
    </row>
    <row r="86" ht="15" customHeight="1">
      <c r="A86" t="inlineStr">
        <is>
          <t>A 6852-2021</t>
        </is>
      </c>
      <c r="B86" s="1" t="n">
        <v>44237</v>
      </c>
      <c r="C86" s="1" t="n">
        <v>45638</v>
      </c>
      <c r="D86" t="inlineStr">
        <is>
          <t>VÄSTERBOTTENS LÄN</t>
        </is>
      </c>
      <c r="E86" t="inlineStr">
        <is>
          <t>STORUMAN</t>
        </is>
      </c>
      <c r="F86" t="inlineStr">
        <is>
          <t>Sveaskog</t>
        </is>
      </c>
      <c r="G86" t="n">
        <v>6.7</v>
      </c>
      <c r="H86" t="n">
        <v>0</v>
      </c>
      <c r="I86" t="n">
        <v>1</v>
      </c>
      <c r="J86" t="n">
        <v>0</v>
      </c>
      <c r="K86" t="n">
        <v>0</v>
      </c>
      <c r="L86" t="n">
        <v>0</v>
      </c>
      <c r="M86" t="n">
        <v>0</v>
      </c>
      <c r="N86" t="n">
        <v>0</v>
      </c>
      <c r="O86" t="n">
        <v>0</v>
      </c>
      <c r="P86" t="n">
        <v>0</v>
      </c>
      <c r="Q86" t="n">
        <v>1</v>
      </c>
      <c r="R86" s="2" t="inlineStr">
        <is>
          <t>Dropptaggsvamp</t>
        </is>
      </c>
      <c r="S86">
        <f>HYPERLINK("https://klasma.github.io/Logging_2421/artfynd/A 6852-2021 artfynd.xlsx", "A 6852-2021")</f>
        <v/>
      </c>
      <c r="T86">
        <f>HYPERLINK("https://klasma.github.io/Logging_2421/kartor/A 6852-2021 karta.png", "A 6852-2021")</f>
        <v/>
      </c>
      <c r="V86">
        <f>HYPERLINK("https://klasma.github.io/Logging_2421/klagomål/A 6852-2021 FSC-klagomål.docx", "A 6852-2021")</f>
        <v/>
      </c>
      <c r="W86">
        <f>HYPERLINK("https://klasma.github.io/Logging_2421/klagomålsmail/A 6852-2021 FSC-klagomål mail.docx", "A 6852-2021")</f>
        <v/>
      </c>
      <c r="X86">
        <f>HYPERLINK("https://klasma.github.io/Logging_2421/tillsyn/A 6852-2021 tillsynsbegäran.docx", "A 6852-2021")</f>
        <v/>
      </c>
      <c r="Y86">
        <f>HYPERLINK("https://klasma.github.io/Logging_2421/tillsynsmail/A 6852-2021 tillsynsbegäran mail.docx", "A 6852-2021")</f>
        <v/>
      </c>
    </row>
    <row r="87" ht="15" customHeight="1">
      <c r="A87" t="inlineStr">
        <is>
          <t>A 19713-2021</t>
        </is>
      </c>
      <c r="B87" s="1" t="n">
        <v>44312</v>
      </c>
      <c r="C87" s="1" t="n">
        <v>45638</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42843-2021</t>
        </is>
      </c>
      <c r="B88" s="1" t="n">
        <v>44430</v>
      </c>
      <c r="C88" s="1" t="n">
        <v>45638</v>
      </c>
      <c r="D88" t="inlineStr">
        <is>
          <t>VÄSTERBOTTENS LÄN</t>
        </is>
      </c>
      <c r="E88" t="inlineStr">
        <is>
          <t>STORUMAN</t>
        </is>
      </c>
      <c r="F88" t="inlineStr">
        <is>
          <t>Övriga statliga verk och myndigheter</t>
        </is>
      </c>
      <c r="G88" t="n">
        <v>19.7</v>
      </c>
      <c r="H88" t="n">
        <v>0</v>
      </c>
      <c r="I88" t="n">
        <v>0</v>
      </c>
      <c r="J88" t="n">
        <v>1</v>
      </c>
      <c r="K88" t="n">
        <v>0</v>
      </c>
      <c r="L88" t="n">
        <v>0</v>
      </c>
      <c r="M88" t="n">
        <v>0</v>
      </c>
      <c r="N88" t="n">
        <v>0</v>
      </c>
      <c r="O88" t="n">
        <v>1</v>
      </c>
      <c r="P88" t="n">
        <v>0</v>
      </c>
      <c r="Q88" t="n">
        <v>1</v>
      </c>
      <c r="R88" s="2" t="inlineStr">
        <is>
          <t>Granticka</t>
        </is>
      </c>
      <c r="S88">
        <f>HYPERLINK("https://klasma.github.io/Logging_2421/artfynd/A 42843-2021 artfynd.xlsx", "A 42843-2021")</f>
        <v/>
      </c>
      <c r="T88">
        <f>HYPERLINK("https://klasma.github.io/Logging_2421/kartor/A 42843-2021 karta.png", "A 42843-2021")</f>
        <v/>
      </c>
      <c r="V88">
        <f>HYPERLINK("https://klasma.github.io/Logging_2421/klagomål/A 42843-2021 FSC-klagomål.docx", "A 42843-2021")</f>
        <v/>
      </c>
      <c r="W88">
        <f>HYPERLINK("https://klasma.github.io/Logging_2421/klagomålsmail/A 42843-2021 FSC-klagomål mail.docx", "A 42843-2021")</f>
        <v/>
      </c>
      <c r="X88">
        <f>HYPERLINK("https://klasma.github.io/Logging_2421/tillsyn/A 42843-2021 tillsynsbegäran.docx", "A 42843-2021")</f>
        <v/>
      </c>
      <c r="Y88">
        <f>HYPERLINK("https://klasma.github.io/Logging_2421/tillsynsmail/A 42843-2021 tillsynsbegäran mail.docx", "A 42843-2021")</f>
        <v/>
      </c>
    </row>
    <row r="89" ht="15" customHeight="1">
      <c r="A89" t="inlineStr">
        <is>
          <t>A 20192-2022</t>
        </is>
      </c>
      <c r="B89" s="1" t="n">
        <v>44698</v>
      </c>
      <c r="C89" s="1" t="n">
        <v>45638</v>
      </c>
      <c r="D89" t="inlineStr">
        <is>
          <t>VÄSTERBOTTENS LÄN</t>
        </is>
      </c>
      <c r="E89" t="inlineStr">
        <is>
          <t>STORUMAN</t>
        </is>
      </c>
      <c r="F89" t="inlineStr">
        <is>
          <t>Sveaskog</t>
        </is>
      </c>
      <c r="G89" t="n">
        <v>3.4</v>
      </c>
      <c r="H89" t="n">
        <v>0</v>
      </c>
      <c r="I89" t="n">
        <v>1</v>
      </c>
      <c r="J89" t="n">
        <v>0</v>
      </c>
      <c r="K89" t="n">
        <v>0</v>
      </c>
      <c r="L89" t="n">
        <v>0</v>
      </c>
      <c r="M89" t="n">
        <v>0</v>
      </c>
      <c r="N89" t="n">
        <v>0</v>
      </c>
      <c r="O89" t="n">
        <v>0</v>
      </c>
      <c r="P89" t="n">
        <v>0</v>
      </c>
      <c r="Q89" t="n">
        <v>1</v>
      </c>
      <c r="R89" s="2" t="inlineStr">
        <is>
          <t>Stuplav</t>
        </is>
      </c>
      <c r="S89">
        <f>HYPERLINK("https://klasma.github.io/Logging_2421/artfynd/A 20192-2022 artfynd.xlsx", "A 20192-2022")</f>
        <v/>
      </c>
      <c r="T89">
        <f>HYPERLINK("https://klasma.github.io/Logging_2421/kartor/A 20192-2022 karta.png", "A 20192-2022")</f>
        <v/>
      </c>
      <c r="V89">
        <f>HYPERLINK("https://klasma.github.io/Logging_2421/klagomål/A 20192-2022 FSC-klagomål.docx", "A 20192-2022")</f>
        <v/>
      </c>
      <c r="W89">
        <f>HYPERLINK("https://klasma.github.io/Logging_2421/klagomålsmail/A 20192-2022 FSC-klagomål mail.docx", "A 20192-2022")</f>
        <v/>
      </c>
      <c r="X89">
        <f>HYPERLINK("https://klasma.github.io/Logging_2421/tillsyn/A 20192-2022 tillsynsbegäran.docx", "A 20192-2022")</f>
        <v/>
      </c>
      <c r="Y89">
        <f>HYPERLINK("https://klasma.github.io/Logging_2421/tillsynsmail/A 20192-2022 tillsynsbegäran mail.docx", "A 20192-2022")</f>
        <v/>
      </c>
    </row>
    <row r="90" ht="15" customHeight="1">
      <c r="A90" t="inlineStr">
        <is>
          <t>A 3826-2023</t>
        </is>
      </c>
      <c r="B90" s="1" t="n">
        <v>44950</v>
      </c>
      <c r="C90" s="1" t="n">
        <v>45638</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3894-2023</t>
        </is>
      </c>
      <c r="B91" s="1" t="n">
        <v>44951</v>
      </c>
      <c r="C91" s="1" t="n">
        <v>45638</v>
      </c>
      <c r="D91" t="inlineStr">
        <is>
          <t>VÄSTERBOTTENS LÄN</t>
        </is>
      </c>
      <c r="E91" t="inlineStr">
        <is>
          <t>STORUMAN</t>
        </is>
      </c>
      <c r="F91" t="inlineStr">
        <is>
          <t>SCA</t>
        </is>
      </c>
      <c r="G91" t="n">
        <v>9.800000000000001</v>
      </c>
      <c r="H91" t="n">
        <v>1</v>
      </c>
      <c r="I91" t="n">
        <v>0</v>
      </c>
      <c r="J91" t="n">
        <v>0</v>
      </c>
      <c r="K91" t="n">
        <v>1</v>
      </c>
      <c r="L91" t="n">
        <v>0</v>
      </c>
      <c r="M91" t="n">
        <v>0</v>
      </c>
      <c r="N91" t="n">
        <v>0</v>
      </c>
      <c r="O91" t="n">
        <v>1</v>
      </c>
      <c r="P91" t="n">
        <v>1</v>
      </c>
      <c r="Q91" t="n">
        <v>1</v>
      </c>
      <c r="R91" s="2" t="inlineStr">
        <is>
          <t>Knärot</t>
        </is>
      </c>
      <c r="S91">
        <f>HYPERLINK("https://klasma.github.io/Logging_2421/artfynd/A 3894-2023 artfynd.xlsx", "A 3894-2023")</f>
        <v/>
      </c>
      <c r="T91">
        <f>HYPERLINK("https://klasma.github.io/Logging_2421/kartor/A 3894-2023 karta.png", "A 3894-2023")</f>
        <v/>
      </c>
      <c r="U91">
        <f>HYPERLINK("https://klasma.github.io/Logging_2421/knärot/A 3894-2023 karta knärot.png", "A 3894-2023")</f>
        <v/>
      </c>
      <c r="V91">
        <f>HYPERLINK("https://klasma.github.io/Logging_2421/klagomål/A 3894-2023 FSC-klagomål.docx", "A 3894-2023")</f>
        <v/>
      </c>
      <c r="W91">
        <f>HYPERLINK("https://klasma.github.io/Logging_2421/klagomålsmail/A 3894-2023 FSC-klagomål mail.docx", "A 3894-2023")</f>
        <v/>
      </c>
      <c r="X91">
        <f>HYPERLINK("https://klasma.github.io/Logging_2421/tillsyn/A 3894-2023 tillsynsbegäran.docx", "A 3894-2023")</f>
        <v/>
      </c>
      <c r="Y91">
        <f>HYPERLINK("https://klasma.github.io/Logging_2421/tillsynsmail/A 3894-2023 tillsynsbegäran mail.docx", "A 3894-2023")</f>
        <v/>
      </c>
    </row>
    <row r="92" ht="15" customHeight="1">
      <c r="A92" t="inlineStr">
        <is>
          <t>A 13445-2023</t>
        </is>
      </c>
      <c r="B92" s="1" t="n">
        <v>45005</v>
      </c>
      <c r="C92" s="1" t="n">
        <v>45638</v>
      </c>
      <c r="D92" t="inlineStr">
        <is>
          <t>VÄSTERBOTTENS LÄN</t>
        </is>
      </c>
      <c r="E92" t="inlineStr">
        <is>
          <t>STORUMAN</t>
        </is>
      </c>
      <c r="G92" t="n">
        <v>3.6</v>
      </c>
      <c r="H92" t="n">
        <v>1</v>
      </c>
      <c r="I92" t="n">
        <v>0</v>
      </c>
      <c r="J92" t="n">
        <v>0</v>
      </c>
      <c r="K92" t="n">
        <v>0</v>
      </c>
      <c r="L92" t="n">
        <v>0</v>
      </c>
      <c r="M92" t="n">
        <v>0</v>
      </c>
      <c r="N92" t="n">
        <v>0</v>
      </c>
      <c r="O92" t="n">
        <v>0</v>
      </c>
      <c r="P92" t="n">
        <v>0</v>
      </c>
      <c r="Q92" t="n">
        <v>1</v>
      </c>
      <c r="R92" s="2" t="inlineStr">
        <is>
          <t>Skogsrör</t>
        </is>
      </c>
      <c r="S92">
        <f>HYPERLINK("https://klasma.github.io/Logging_2421/artfynd/A 13445-2023 artfynd.xlsx", "A 13445-2023")</f>
        <v/>
      </c>
      <c r="T92">
        <f>HYPERLINK("https://klasma.github.io/Logging_2421/kartor/A 13445-2023 karta.png", "A 13445-2023")</f>
        <v/>
      </c>
      <c r="V92">
        <f>HYPERLINK("https://klasma.github.io/Logging_2421/klagomål/A 13445-2023 FSC-klagomål.docx", "A 13445-2023")</f>
        <v/>
      </c>
      <c r="W92">
        <f>HYPERLINK("https://klasma.github.io/Logging_2421/klagomålsmail/A 13445-2023 FSC-klagomål mail.docx", "A 13445-2023")</f>
        <v/>
      </c>
      <c r="X92">
        <f>HYPERLINK("https://klasma.github.io/Logging_2421/tillsyn/A 13445-2023 tillsynsbegäran.docx", "A 13445-2023")</f>
        <v/>
      </c>
      <c r="Y92">
        <f>HYPERLINK("https://klasma.github.io/Logging_2421/tillsynsmail/A 13445-2023 tillsynsbegäran mail.docx", "A 13445-2023")</f>
        <v/>
      </c>
    </row>
    <row r="93" ht="15" customHeight="1">
      <c r="A93" t="inlineStr">
        <is>
          <t>A 19153-2023</t>
        </is>
      </c>
      <c r="B93" s="1" t="n">
        <v>45044</v>
      </c>
      <c r="C93" s="1" t="n">
        <v>45638</v>
      </c>
      <c r="D93" t="inlineStr">
        <is>
          <t>VÄSTERBOTTENS LÄN</t>
        </is>
      </c>
      <c r="E93" t="inlineStr">
        <is>
          <t>STORUMAN</t>
        </is>
      </c>
      <c r="G93" t="n">
        <v>16</v>
      </c>
      <c r="H93" t="n">
        <v>0</v>
      </c>
      <c r="I93" t="n">
        <v>0</v>
      </c>
      <c r="J93" t="n">
        <v>1</v>
      </c>
      <c r="K93" t="n">
        <v>0</v>
      </c>
      <c r="L93" t="n">
        <v>0</v>
      </c>
      <c r="M93" t="n">
        <v>0</v>
      </c>
      <c r="N93" t="n">
        <v>0</v>
      </c>
      <c r="O93" t="n">
        <v>1</v>
      </c>
      <c r="P93" t="n">
        <v>0</v>
      </c>
      <c r="Q93" t="n">
        <v>1</v>
      </c>
      <c r="R93" s="2" t="inlineStr">
        <is>
          <t>Ullticka</t>
        </is>
      </c>
      <c r="S93">
        <f>HYPERLINK("https://klasma.github.io/Logging_2421/artfynd/A 19153-2023 artfynd.xlsx", "A 19153-2023")</f>
        <v/>
      </c>
      <c r="T93">
        <f>HYPERLINK("https://klasma.github.io/Logging_2421/kartor/A 19153-2023 karta.png", "A 19153-2023")</f>
        <v/>
      </c>
      <c r="V93">
        <f>HYPERLINK("https://klasma.github.io/Logging_2421/klagomål/A 19153-2023 FSC-klagomål.docx", "A 19153-2023")</f>
        <v/>
      </c>
      <c r="W93">
        <f>HYPERLINK("https://klasma.github.io/Logging_2421/klagomålsmail/A 19153-2023 FSC-klagomål mail.docx", "A 19153-2023")</f>
        <v/>
      </c>
      <c r="X93">
        <f>HYPERLINK("https://klasma.github.io/Logging_2421/tillsyn/A 19153-2023 tillsynsbegäran.docx", "A 19153-2023")</f>
        <v/>
      </c>
      <c r="Y93">
        <f>HYPERLINK("https://klasma.github.io/Logging_2421/tillsynsmail/A 19153-2023 tillsynsbegäran mail.docx", "A 19153-2023")</f>
        <v/>
      </c>
    </row>
    <row r="94" ht="15" customHeight="1">
      <c r="A94" t="inlineStr">
        <is>
          <t>A 29223-2023</t>
        </is>
      </c>
      <c r="B94" s="1" t="n">
        <v>45097</v>
      </c>
      <c r="C94" s="1" t="n">
        <v>45638</v>
      </c>
      <c r="D94" t="inlineStr">
        <is>
          <t>VÄSTERBOTTENS LÄN</t>
        </is>
      </c>
      <c r="E94" t="inlineStr">
        <is>
          <t>STORUMAN</t>
        </is>
      </c>
      <c r="G94" t="n">
        <v>20</v>
      </c>
      <c r="H94" t="n">
        <v>1</v>
      </c>
      <c r="I94" t="n">
        <v>0</v>
      </c>
      <c r="J94" t="n">
        <v>0</v>
      </c>
      <c r="K94" t="n">
        <v>1</v>
      </c>
      <c r="L94" t="n">
        <v>0</v>
      </c>
      <c r="M94" t="n">
        <v>0</v>
      </c>
      <c r="N94" t="n">
        <v>0</v>
      </c>
      <c r="O94" t="n">
        <v>1</v>
      </c>
      <c r="P94" t="n">
        <v>1</v>
      </c>
      <c r="Q94" t="n">
        <v>1</v>
      </c>
      <c r="R94" s="2" t="inlineStr">
        <is>
          <t>Norna</t>
        </is>
      </c>
      <c r="S94">
        <f>HYPERLINK("https://klasma.github.io/Logging_2421/artfynd/A 29223-2023 artfynd.xlsx", "A 29223-2023")</f>
        <v/>
      </c>
      <c r="T94">
        <f>HYPERLINK("https://klasma.github.io/Logging_2421/kartor/A 29223-2023 karta.png", "A 29223-2023")</f>
        <v/>
      </c>
      <c r="V94">
        <f>HYPERLINK("https://klasma.github.io/Logging_2421/klagomål/A 29223-2023 FSC-klagomål.docx", "A 29223-2023")</f>
        <v/>
      </c>
      <c r="W94">
        <f>HYPERLINK("https://klasma.github.io/Logging_2421/klagomålsmail/A 29223-2023 FSC-klagomål mail.docx", "A 29223-2023")</f>
        <v/>
      </c>
      <c r="X94">
        <f>HYPERLINK("https://klasma.github.io/Logging_2421/tillsyn/A 29223-2023 tillsynsbegäran.docx", "A 29223-2023")</f>
        <v/>
      </c>
      <c r="Y94">
        <f>HYPERLINK("https://klasma.github.io/Logging_2421/tillsynsmail/A 29223-2023 tillsynsbegäran mail.docx", "A 29223-2023")</f>
        <v/>
      </c>
    </row>
    <row r="95" ht="15" customHeight="1">
      <c r="A95" t="inlineStr">
        <is>
          <t>A 29563-2023</t>
        </is>
      </c>
      <c r="B95" s="1" t="n">
        <v>45106</v>
      </c>
      <c r="C95" s="1" t="n">
        <v>45638</v>
      </c>
      <c r="D95" t="inlineStr">
        <is>
          <t>VÄSTERBOTTENS LÄN</t>
        </is>
      </c>
      <c r="E95" t="inlineStr">
        <is>
          <t>STORUMAN</t>
        </is>
      </c>
      <c r="F95" t="inlineStr">
        <is>
          <t>Sveaskog</t>
        </is>
      </c>
      <c r="G95" t="n">
        <v>3.8</v>
      </c>
      <c r="H95" t="n">
        <v>1</v>
      </c>
      <c r="I95" t="n">
        <v>0</v>
      </c>
      <c r="J95" t="n">
        <v>0</v>
      </c>
      <c r="K95" t="n">
        <v>1</v>
      </c>
      <c r="L95" t="n">
        <v>0</v>
      </c>
      <c r="M95" t="n">
        <v>0</v>
      </c>
      <c r="N95" t="n">
        <v>0</v>
      </c>
      <c r="O95" t="n">
        <v>1</v>
      </c>
      <c r="P95" t="n">
        <v>1</v>
      </c>
      <c r="Q95" t="n">
        <v>1</v>
      </c>
      <c r="R95" s="2" t="inlineStr">
        <is>
          <t>Knärot</t>
        </is>
      </c>
      <c r="S95">
        <f>HYPERLINK("https://klasma.github.io/Logging_2421/artfynd/A 29563-2023 artfynd.xlsx", "A 29563-2023")</f>
        <v/>
      </c>
      <c r="T95">
        <f>HYPERLINK("https://klasma.github.io/Logging_2421/kartor/A 29563-2023 karta.png", "A 29563-2023")</f>
        <v/>
      </c>
      <c r="U95">
        <f>HYPERLINK("https://klasma.github.io/Logging_2421/knärot/A 29563-2023 karta knärot.png", "A 29563-2023")</f>
        <v/>
      </c>
      <c r="V95">
        <f>HYPERLINK("https://klasma.github.io/Logging_2421/klagomål/A 29563-2023 FSC-klagomål.docx", "A 29563-2023")</f>
        <v/>
      </c>
      <c r="W95">
        <f>HYPERLINK("https://klasma.github.io/Logging_2421/klagomålsmail/A 29563-2023 FSC-klagomål mail.docx", "A 29563-2023")</f>
        <v/>
      </c>
      <c r="X95">
        <f>HYPERLINK("https://klasma.github.io/Logging_2421/tillsyn/A 29563-2023 tillsynsbegäran.docx", "A 29563-2023")</f>
        <v/>
      </c>
      <c r="Y95">
        <f>HYPERLINK("https://klasma.github.io/Logging_2421/tillsynsmail/A 29563-2023 tillsynsbegäran mail.docx", "A 29563-2023")</f>
        <v/>
      </c>
    </row>
    <row r="96" ht="15" customHeight="1">
      <c r="A96" t="inlineStr">
        <is>
          <t>A 29572-2023</t>
        </is>
      </c>
      <c r="B96" s="1" t="n">
        <v>45106</v>
      </c>
      <c r="C96" s="1" t="n">
        <v>45638</v>
      </c>
      <c r="D96" t="inlineStr">
        <is>
          <t>VÄSTERBOTTENS LÄN</t>
        </is>
      </c>
      <c r="E96" t="inlineStr">
        <is>
          <t>STORUMAN</t>
        </is>
      </c>
      <c r="F96" t="inlineStr">
        <is>
          <t>Sveaskog</t>
        </is>
      </c>
      <c r="G96" t="n">
        <v>5.3</v>
      </c>
      <c r="H96" t="n">
        <v>0</v>
      </c>
      <c r="I96" t="n">
        <v>0</v>
      </c>
      <c r="J96" t="n">
        <v>1</v>
      </c>
      <c r="K96" t="n">
        <v>0</v>
      </c>
      <c r="L96" t="n">
        <v>0</v>
      </c>
      <c r="M96" t="n">
        <v>0</v>
      </c>
      <c r="N96" t="n">
        <v>0</v>
      </c>
      <c r="O96" t="n">
        <v>1</v>
      </c>
      <c r="P96" t="n">
        <v>0</v>
      </c>
      <c r="Q96" t="n">
        <v>1</v>
      </c>
      <c r="R96" s="2" t="inlineStr">
        <is>
          <t>Skrovlig taggsvamp</t>
        </is>
      </c>
      <c r="S96">
        <f>HYPERLINK("https://klasma.github.io/Logging_2421/artfynd/A 29572-2023 artfynd.xlsx", "A 29572-2023")</f>
        <v/>
      </c>
      <c r="T96">
        <f>HYPERLINK("https://klasma.github.io/Logging_2421/kartor/A 29572-2023 karta.png", "A 29572-2023")</f>
        <v/>
      </c>
      <c r="V96">
        <f>HYPERLINK("https://klasma.github.io/Logging_2421/klagomål/A 29572-2023 FSC-klagomål.docx", "A 29572-2023")</f>
        <v/>
      </c>
      <c r="W96">
        <f>HYPERLINK("https://klasma.github.io/Logging_2421/klagomålsmail/A 29572-2023 FSC-klagomål mail.docx", "A 29572-2023")</f>
        <v/>
      </c>
      <c r="X96">
        <f>HYPERLINK("https://klasma.github.io/Logging_2421/tillsyn/A 29572-2023 tillsynsbegäran.docx", "A 29572-2023")</f>
        <v/>
      </c>
      <c r="Y96">
        <f>HYPERLINK("https://klasma.github.io/Logging_2421/tillsynsmail/A 29572-2023 tillsynsbegäran mail.docx", "A 29572-2023")</f>
        <v/>
      </c>
    </row>
    <row r="97" ht="15" customHeight="1">
      <c r="A97" t="inlineStr">
        <is>
          <t>A 60264-2023</t>
        </is>
      </c>
      <c r="B97" s="1" t="n">
        <v>45257</v>
      </c>
      <c r="C97" s="1" t="n">
        <v>45638</v>
      </c>
      <c r="D97" t="inlineStr">
        <is>
          <t>VÄSTERBOTTENS LÄN</t>
        </is>
      </c>
      <c r="E97" t="inlineStr">
        <is>
          <t>STORUMAN</t>
        </is>
      </c>
      <c r="G97" t="n">
        <v>15.8</v>
      </c>
      <c r="H97" t="n">
        <v>1</v>
      </c>
      <c r="I97" t="n">
        <v>0</v>
      </c>
      <c r="J97" t="n">
        <v>0</v>
      </c>
      <c r="K97" t="n">
        <v>0</v>
      </c>
      <c r="L97" t="n">
        <v>0</v>
      </c>
      <c r="M97" t="n">
        <v>0</v>
      </c>
      <c r="N97" t="n">
        <v>0</v>
      </c>
      <c r="O97" t="n">
        <v>0</v>
      </c>
      <c r="P97" t="n">
        <v>0</v>
      </c>
      <c r="Q97" t="n">
        <v>1</v>
      </c>
      <c r="R97" s="2" t="inlineStr">
        <is>
          <t>Gråspett</t>
        </is>
      </c>
      <c r="S97">
        <f>HYPERLINK("https://klasma.github.io/Logging_2421/artfynd/A 60264-2023 artfynd.xlsx", "A 60264-2023")</f>
        <v/>
      </c>
      <c r="T97">
        <f>HYPERLINK("https://klasma.github.io/Logging_2421/kartor/A 60264-2023 karta.png", "A 60264-2023")</f>
        <v/>
      </c>
      <c r="V97">
        <f>HYPERLINK("https://klasma.github.io/Logging_2421/klagomål/A 60264-2023 FSC-klagomål.docx", "A 60264-2023")</f>
        <v/>
      </c>
      <c r="W97">
        <f>HYPERLINK("https://klasma.github.io/Logging_2421/klagomålsmail/A 60264-2023 FSC-klagomål mail.docx", "A 60264-2023")</f>
        <v/>
      </c>
      <c r="X97">
        <f>HYPERLINK("https://klasma.github.io/Logging_2421/tillsyn/A 60264-2023 tillsynsbegäran.docx", "A 60264-2023")</f>
        <v/>
      </c>
      <c r="Y97">
        <f>HYPERLINK("https://klasma.github.io/Logging_2421/tillsynsmail/A 60264-2023 tillsynsbegäran mail.docx", "A 60264-2023")</f>
        <v/>
      </c>
      <c r="Z97">
        <f>HYPERLINK("https://klasma.github.io/Logging_2421/fåglar/A 60264-2023 prioriterade fågelarter.docx", "A 60264-2023")</f>
        <v/>
      </c>
    </row>
    <row r="98" ht="15" customHeight="1">
      <c r="A98" t="inlineStr">
        <is>
          <t>A 12579-2024</t>
        </is>
      </c>
      <c r="B98" s="1" t="n">
        <v>45379</v>
      </c>
      <c r="C98" s="1" t="n">
        <v>45638</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45638</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45638</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45638</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45638</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45638</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45638</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45638</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45638</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45638</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45638</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45638</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45638</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45638</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45638</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45638</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45638</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45638</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45638</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45638</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45638</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45638</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45638</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45638</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45638</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45638</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45638</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45638</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45638</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45638</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45638</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45638</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45638</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45638</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45638</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45638</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45638</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45638</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45638</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45638</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45638</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45638</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45638</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45638</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45638</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45638</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45638</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45638</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45638</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45638</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45638</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45638</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45638</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45638</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45638</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45638</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45638</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45638</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45638</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45638</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45638</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45638</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45638</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45638</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45638</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45638</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45638</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45638</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45638</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45638</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45638</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45638</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45638</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45638</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45638</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45638</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45638</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45638</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45638</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45638</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45638</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45638</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45638</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45638</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45638</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45638</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45638</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45638</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45638</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45638</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45638</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45638</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45638</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45638</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45638</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45638</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45638</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45638</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45638</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45638</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45638</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45638</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45638</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45638</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45638</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45638</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45638</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45638</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45638</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45638</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45638</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45638</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45638</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45638</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45638</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45638</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45638</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45638</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45638</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45638</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45638</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45638</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45638</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45638</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45638</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45638</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45638</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45638</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45638</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45638</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45638</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45638</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45638</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45638</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45638</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45638</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45638</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45638</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45638</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45638</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45638</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45638</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45638</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45638</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45638</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45638</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45638</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45638</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45638</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45638</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45638</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45638</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45638</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45638</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45638</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45638</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45638</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45638</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45638</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45638</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45638</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45638</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45638</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45638</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45638</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45638</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45638</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45638</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45638</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45638</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45638</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45638</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45638</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45638</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45638</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45638</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45638</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45638</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45638</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45638</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45638</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45638</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45638</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45638</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45638</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45638</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45638</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45638</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45638</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45638</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45638</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45638</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45638</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45638</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45638</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45638</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45638</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45638</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45638</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45638</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45638</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45638</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45638</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45638</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45638</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45638</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45638</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45638</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45638</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45638</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45638</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45638</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45638</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45638</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45638</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45638</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45638</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45638</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45638</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45638</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45638</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45638</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45638</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45638</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45638</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45638</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45638</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45638</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45638</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45638</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45638</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45638</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45638</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45638</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45638</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45638</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45638</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45638</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45638</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45638</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45638</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45638</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45638</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45638</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45638</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45638</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45638</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45638</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45638</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45638</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45638</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45638</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45638</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45638</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45638</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45638</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45638</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45638</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45638</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45638</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45638</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45638</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45638</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45638</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45638</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45638</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45638</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45638</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45638</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45638</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45638</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45638</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45638</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45638</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45638</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45638</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45638</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45638</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45638</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45638</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45638</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45638</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45638</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45638</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45638</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45638</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45638</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45638</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45638</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45638</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45638</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45638</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45638</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45638</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45638</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45638</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45638</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45638</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45638</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45638</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45638</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45638</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45638</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45638</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45638</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45638</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45638</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45638</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45638</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45638</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45638</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45638</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45638</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45638</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45638</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45638</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45638</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45638</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45638</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45638</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45638</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45638</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45638</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45638</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45638</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45638</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45638</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45638</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45638</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45638</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45638</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45638</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45638</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45638</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45638</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45638</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45638</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45638</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45638</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45638</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45638</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45638</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45638</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45638</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45638</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45638</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45638</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45638</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45638</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45638</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45638</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45638</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45638</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45638</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45638</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45638</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45638</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45638</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45638</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45638</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45638</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45638</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45638</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45638</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45638</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45638</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45638</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45638</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45638</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45638</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45638</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45638</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45638</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45638</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45638</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45638</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45638</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45638</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45638</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45638</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45638</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45638</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45638</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45638</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45638</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45638</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45638</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45638</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45638</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45638</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45638</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45638</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45638</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45638</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45638</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45638</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45638</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45638</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45638</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45638</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45638</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45638</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45638</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45638</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45638</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45638</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45638</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45638</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45638</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45638</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45638</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45638</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45638</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45638</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45638</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45638</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45638</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45638</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45638</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45638</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45638</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45638</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45638</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45638</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45638</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45638</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45638</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45638</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45638</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45638</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45638</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45638</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45638</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45638</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45638</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45638</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45638</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45638</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45638</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45638</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45638</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45638</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45638</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45638</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45638</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45638</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45638</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45638</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45638</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45638</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45638</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45638</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45638</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45638</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45638</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45638</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45638</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45638</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45638</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45638</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45638</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45638</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45638</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45638</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45638</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45638</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45638</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45638</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45638</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45638</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45638</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45638</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45638</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45638</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45638</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45638</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45638</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45638</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45638</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45638</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45638</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45638</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45638</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45638</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45638</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45638</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45638</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45638</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45638</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45638</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45638</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45638</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45638</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45638</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45638</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45638</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45638</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45638</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45638</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45638</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45638</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45638</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45638</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45638</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45638</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45638</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45638</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45638</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45638</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45638</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45638</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45638</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45638</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52552-2024</t>
        </is>
      </c>
      <c r="B611" s="1" t="n">
        <v>45609</v>
      </c>
      <c r="C611" s="1" t="n">
        <v>45638</v>
      </c>
      <c r="D611" t="inlineStr">
        <is>
          <t>VÄSTERBOTTENS LÄN</t>
        </is>
      </c>
      <c r="E611" t="inlineStr">
        <is>
          <t>STORUMAN</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45638</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45638</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45638</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53948-2024</t>
        </is>
      </c>
      <c r="B615" s="1" t="n">
        <v>45616</v>
      </c>
      <c r="C615" s="1" t="n">
        <v>45638</v>
      </c>
      <c r="D615" t="inlineStr">
        <is>
          <t>VÄSTERBOTTENS LÄN</t>
        </is>
      </c>
      <c r="E615" t="inlineStr">
        <is>
          <t>STORUMAN</t>
        </is>
      </c>
      <c r="G615" t="n">
        <v>3.6</v>
      </c>
      <c r="H615" t="n">
        <v>0</v>
      </c>
      <c r="I615" t="n">
        <v>0</v>
      </c>
      <c r="J615" t="n">
        <v>0</v>
      </c>
      <c r="K615" t="n">
        <v>0</v>
      </c>
      <c r="L615" t="n">
        <v>0</v>
      </c>
      <c r="M615" t="n">
        <v>0</v>
      </c>
      <c r="N615" t="n">
        <v>0</v>
      </c>
      <c r="O615" t="n">
        <v>0</v>
      </c>
      <c r="P615" t="n">
        <v>0</v>
      </c>
      <c r="Q615" t="n">
        <v>0</v>
      </c>
      <c r="R615" s="2" t="inlineStr"/>
    </row>
    <row r="616" ht="15" customHeight="1">
      <c r="A616" t="inlineStr">
        <is>
          <t>A 53946-2024</t>
        </is>
      </c>
      <c r="B616" s="1" t="n">
        <v>45616</v>
      </c>
      <c r="C616" s="1" t="n">
        <v>45638</v>
      </c>
      <c r="D616" t="inlineStr">
        <is>
          <t>VÄSTERBOTTENS LÄN</t>
        </is>
      </c>
      <c r="E616" t="inlineStr">
        <is>
          <t>STORUMAN</t>
        </is>
      </c>
      <c r="G616" t="n">
        <v>10.1</v>
      </c>
      <c r="H616" t="n">
        <v>0</v>
      </c>
      <c r="I616" t="n">
        <v>0</v>
      </c>
      <c r="J616" t="n">
        <v>0</v>
      </c>
      <c r="K616" t="n">
        <v>0</v>
      </c>
      <c r="L616" t="n">
        <v>0</v>
      </c>
      <c r="M616" t="n">
        <v>0</v>
      </c>
      <c r="N616" t="n">
        <v>0</v>
      </c>
      <c r="O616" t="n">
        <v>0</v>
      </c>
      <c r="P616" t="n">
        <v>0</v>
      </c>
      <c r="Q616" t="n">
        <v>0</v>
      </c>
      <c r="R616" s="2" t="inlineStr"/>
    </row>
    <row r="617" ht="15" customHeight="1">
      <c r="A617" t="inlineStr">
        <is>
          <t>A 57962-2024</t>
        </is>
      </c>
      <c r="B617" s="1" t="n">
        <v>45631</v>
      </c>
      <c r="C617" s="1" t="n">
        <v>45638</v>
      </c>
      <c r="D617" t="inlineStr">
        <is>
          <t>VÄSTERBOTTENS LÄN</t>
        </is>
      </c>
      <c r="E617" t="inlineStr">
        <is>
          <t>STORUMAN</t>
        </is>
      </c>
      <c r="F617" t="inlineStr">
        <is>
          <t>Allmännings- och besparingsskogar</t>
        </is>
      </c>
      <c r="G617" t="n">
        <v>855.5</v>
      </c>
      <c r="H617" t="n">
        <v>0</v>
      </c>
      <c r="I617" t="n">
        <v>0</v>
      </c>
      <c r="J617" t="n">
        <v>0</v>
      </c>
      <c r="K617" t="n">
        <v>0</v>
      </c>
      <c r="L617" t="n">
        <v>0</v>
      </c>
      <c r="M617" t="n">
        <v>0</v>
      </c>
      <c r="N617" t="n">
        <v>0</v>
      </c>
      <c r="O617" t="n">
        <v>0</v>
      </c>
      <c r="P617" t="n">
        <v>0</v>
      </c>
      <c r="Q617" t="n">
        <v>0</v>
      </c>
      <c r="R617" s="2" t="inlineStr"/>
    </row>
    <row r="618" ht="15" customHeight="1">
      <c r="A618" t="inlineStr">
        <is>
          <t>A 58787-2024</t>
        </is>
      </c>
      <c r="B618" s="1" t="n">
        <v>45635</v>
      </c>
      <c r="C618" s="1" t="n">
        <v>45638</v>
      </c>
      <c r="D618" t="inlineStr">
        <is>
          <t>VÄSTERBOTTENS LÄN</t>
        </is>
      </c>
      <c r="E618" t="inlineStr">
        <is>
          <t>STORUMAN</t>
        </is>
      </c>
      <c r="G618" t="n">
        <v>17.4</v>
      </c>
      <c r="H618" t="n">
        <v>0</v>
      </c>
      <c r="I618" t="n">
        <v>0</v>
      </c>
      <c r="J618" t="n">
        <v>0</v>
      </c>
      <c r="K618" t="n">
        <v>0</v>
      </c>
      <c r="L618" t="n">
        <v>0</v>
      </c>
      <c r="M618" t="n">
        <v>0</v>
      </c>
      <c r="N618" t="n">
        <v>0</v>
      </c>
      <c r="O618" t="n">
        <v>0</v>
      </c>
      <c r="P618" t="n">
        <v>0</v>
      </c>
      <c r="Q618" t="n">
        <v>0</v>
      </c>
      <c r="R618" s="2" t="inlineStr"/>
    </row>
    <row r="619">
      <c r="A619" t="inlineStr">
        <is>
          <t>A 58911-2024</t>
        </is>
      </c>
      <c r="B619" s="1" t="n">
        <v>45636</v>
      </c>
      <c r="C619" s="1" t="n">
        <v>45638</v>
      </c>
      <c r="D619" t="inlineStr">
        <is>
          <t>VÄSTERBOTTENS LÄN</t>
        </is>
      </c>
      <c r="E619" t="inlineStr">
        <is>
          <t>STORUMAN</t>
        </is>
      </c>
      <c r="F619" t="inlineStr">
        <is>
          <t>Holmen skog AB</t>
        </is>
      </c>
      <c r="G619" t="n">
        <v>4.8</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2024-12-12T15:49:35Z</dcterms:created>
  <dcterms:modified xmlns:dcterms="http://purl.org/dc/terms/" xmlns:xsi="http://www.w3.org/2001/XMLSchema-instance" xsi:type="dcterms:W3CDTF">2024-12-12T15:49:36Z</dcterms:modified>
</cp:coreProperties>
</file>