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45727</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45727</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45727</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45727</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45727</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45727</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45727</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45727</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45727</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45727</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45727</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45727</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45727</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45727</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45727</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45727</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45727</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45727</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45727</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45727</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45727</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45727</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45727</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45727</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45727</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45727</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45727</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45727</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45727</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45727</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45727</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45727</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45727</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45727</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45727</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45727</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45727</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45727</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45727</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45727</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45727</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45727</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45727</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45727</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45727</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45727</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45727</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45727</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45727</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45727</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45727</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45727</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Blodvaxskivling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45727</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45727</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45727</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45727</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45727</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45727</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45727</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45727</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45727</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45727</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45727</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45727</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45727</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45727</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45727</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45727</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45727</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45727</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45727</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45727</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45727</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45727</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45727</v>
      </c>
      <c r="D76" t="inlineStr">
        <is>
          <t>VÄSTERBOTTENS LÄN</t>
        </is>
      </c>
      <c r="E76" t="inlineStr">
        <is>
          <t>STORUMAN</t>
        </is>
      </c>
      <c r="G76" t="n">
        <v>47.5</v>
      </c>
      <c r="H76" t="n">
        <v>0</v>
      </c>
      <c r="I76" t="n">
        <v>0</v>
      </c>
      <c r="J76" t="n">
        <v>3</v>
      </c>
      <c r="K76" t="n">
        <v>0</v>
      </c>
      <c r="L76" t="n">
        <v>0</v>
      </c>
      <c r="M76" t="n">
        <v>0</v>
      </c>
      <c r="N76" t="n">
        <v>0</v>
      </c>
      <c r="O76" t="n">
        <v>3</v>
      </c>
      <c r="P76" t="n">
        <v>0</v>
      </c>
      <c r="Q76" t="n">
        <v>3</v>
      </c>
      <c r="R76" s="2" t="inlineStr">
        <is>
          <t>Garnlav
Lunglav
Skrovellav</t>
        </is>
      </c>
      <c r="S76">
        <f>HYPERLINK("https://klasma.github.io/Logging_2421/artfynd/A 11190-2025 artfynd.xlsx", "A 11190-2025")</f>
        <v/>
      </c>
      <c r="T76">
        <f>HYPERLINK("https://klasma.github.io/Logging_2421/kartor/A 11190-2025 karta.png", "A 11190-2025")</f>
        <v/>
      </c>
      <c r="V76">
        <f>HYPERLINK("https://klasma.github.io/Logging_2421/klagomål/A 11190-2025 FSC-klagomål.docx", "A 11190-2025")</f>
        <v/>
      </c>
      <c r="W76">
        <f>HYPERLINK("https://klasma.github.io/Logging_2421/klagomålsmail/A 11190-2025 FSC-klagomål mail.docx", "A 11190-2025")</f>
        <v/>
      </c>
      <c r="X76">
        <f>HYPERLINK("https://klasma.github.io/Logging_2421/tillsyn/A 11190-2025 tillsynsbegäran.docx", "A 11190-2025")</f>
        <v/>
      </c>
      <c r="Y76">
        <f>HYPERLINK("https://klasma.github.io/Logging_2421/tillsynsmail/A 11190-2025 tillsynsbegäran mail.docx", "A 11190-2025")</f>
        <v/>
      </c>
    </row>
    <row r="77" ht="15" customHeight="1">
      <c r="A77" t="inlineStr">
        <is>
          <t>A 42000-2019</t>
        </is>
      </c>
      <c r="B77" s="1" t="n">
        <v>43700</v>
      </c>
      <c r="C77" s="1" t="n">
        <v>45727</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45727</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45727</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45727</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45727</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45727</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45727</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45727</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45727</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45727</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45727</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45727</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45727</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45727</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45727</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45727</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45727</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45727</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45727</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45727</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45727</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45727</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45727</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45727</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45727</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45727</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45727</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45727</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45727</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45727</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45727</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45727</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45727</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45727</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45727</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45727</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45727</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45727</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45727</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45727</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45727</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45727</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45727</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45727</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45727</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45727</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45727</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45727</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45727</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45727</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45727</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45727</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45727</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45727</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45727</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45727</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45727</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45727</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45727</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45727</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45727</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45727</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45727</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45727</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45727</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45727</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45727</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45727</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45727</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45727</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45727</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45727</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45727</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45727</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45727</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45727</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45727</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45727</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45727</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45727</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45727</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45727</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45727</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45727</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45727</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45727</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45727</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45727</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45727</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45727</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45727</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45727</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45727</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45727</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45727</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45727</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45727</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45727</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45727</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45727</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45727</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45727</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45727</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45727</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45727</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45727</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45727</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45727</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45727</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45727</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45727</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45727</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45727</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45727</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45727</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45727</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45727</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45727</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45727</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45727</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45727</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45727</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45727</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45727</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45727</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45727</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45727</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45727</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45727</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45727</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45727</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45727</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45727</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45727</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45727</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45727</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45727</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45727</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45727</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45727</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45727</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45727</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45727</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45727</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45727</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45727</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45727</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45727</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45727</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45727</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45727</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45727</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45727</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45727</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45727</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45727</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45727</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45727</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45727</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45727</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45727</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45727</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45727</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45727</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45727</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45727</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45727</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45727</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45727</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45727</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45727</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45727</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45727</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45727</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45727</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45727</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45727</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45727</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45727</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45727</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45727</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45727</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45727</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45727</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45727</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45727</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45727</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45727</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45727</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45727</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45727</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45727</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45727</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45727</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45727</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45727</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45727</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45727</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45727</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45727</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45727</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45727</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45727</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45727</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45727</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45727</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45727</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45727</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45727</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45727</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45727</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45727</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45727</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45727</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45727</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45727</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45727</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45727</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45727</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45727</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45727</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45727</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45727</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45727</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45727</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45727</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45727</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45727</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45727</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45727</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45727</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45727</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45727</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45727</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45727</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45727</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45727</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45727</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45727</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45727</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45727</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45727</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45727</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45727</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45727</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45727</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45727</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45727</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45727</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45727</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45727</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45727</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45727</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45727</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45727</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45727</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45727</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45727</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45727</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45727</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45727</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45727</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45727</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45727</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45727</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45727</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45727</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45727</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45727</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45727</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45727</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45727</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45727</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45727</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45727</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45727</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45727</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45727</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45727</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45727</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45727</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45727</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45727</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45727</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45727</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45727</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45727</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45727</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45727</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45727</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45727</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45727</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45727</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45727</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45727</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45727</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45727</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45727</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45727</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45727</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45727</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45727</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45727</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45727</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45727</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45727</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45727</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45727</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45727</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45727</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45727</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45727</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45727</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45727</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45727</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45727</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45727</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45727</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45727</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45727</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45727</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45727</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45727</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45727</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45727</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45727</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45727</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45727</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45727</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45727</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45727</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45727</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45727</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45727</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45727</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45727</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45727</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45727</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45727</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45727</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45727</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45727</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45727</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45727</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45727</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45727</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45727</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45727</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45727</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45727</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45727</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45727</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45727</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45727</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45727</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45727</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45727</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45727</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45727</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45727</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45727</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45727</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45727</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45727</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45727</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45727</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45727</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45727</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45727</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45727</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45727</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45727</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45727</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45727</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45727</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45727</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45727</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45727</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45727</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45727</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45727</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45727</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45727</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45727</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45727</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45727</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45727</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45727</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45727</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45727</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45727</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45727</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45727</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45727</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45727</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45727</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45727</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45727</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45727</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45727</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45727</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45727</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45727</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45727</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45727</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45727</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45727</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45727</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45727</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45727</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45727</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45727</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45727</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45727</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45727</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45727</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45727</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45727</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45727</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45727</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45727</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45727</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45727</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45727</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45727</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45727</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45727</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45727</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45727</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45727</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45727</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45727</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45727</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45727</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45727</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45727</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45727</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45727</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45727</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45727</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45727</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45727</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45727</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45727</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45727</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45727</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45727</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45727</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45727</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45727</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45727</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45727</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45727</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45727</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45727</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45727</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45727</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45727</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45727</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45727</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45727</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45727</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45727</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45727</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45727</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45727</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45727</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45727</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45727</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45727</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45727</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45727</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45727</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45727</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45727</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45727</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45727</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45727</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45727</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45727</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45727</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45727</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45727</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45727</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45727</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45727</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45727</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45727</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45727</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45727</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45727</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45727</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45727</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45727</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45727</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45727</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45727</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45727</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45727</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45727</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45727</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45727</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45727</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45727</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45727</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45727</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45727</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45727</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45727</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45727</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45727</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45727</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45727</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45727</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45727</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45727</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45727</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45727</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45727</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45727</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45727</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45727</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45727</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45727</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45727</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45727</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45727</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45727</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45727</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45727</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45727</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45727</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45727</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45727</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45727</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45727</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45727</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45727</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45727</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45727</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45727</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45727</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45727</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45727</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45727</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45727</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45727</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45727</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45727</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45727</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45727</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45727</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45727</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45727</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45727</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45727</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45727</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45727</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45727</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45727</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45727</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45727</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7229-2025</t>
        </is>
      </c>
      <c r="B639" s="1" t="n">
        <v>45702</v>
      </c>
      <c r="C639" s="1" t="n">
        <v>45727</v>
      </c>
      <c r="D639" t="inlineStr">
        <is>
          <t>VÄSTERBOTTENS LÄN</t>
        </is>
      </c>
      <c r="E639" t="inlineStr">
        <is>
          <t>STORUMAN</t>
        </is>
      </c>
      <c r="G639" t="n">
        <v>15.2</v>
      </c>
      <c r="H639" t="n">
        <v>0</v>
      </c>
      <c r="I639" t="n">
        <v>0</v>
      </c>
      <c r="J639" t="n">
        <v>0</v>
      </c>
      <c r="K639" t="n">
        <v>0</v>
      </c>
      <c r="L639" t="n">
        <v>0</v>
      </c>
      <c r="M639" t="n">
        <v>0</v>
      </c>
      <c r="N639" t="n">
        <v>0</v>
      </c>
      <c r="O639" t="n">
        <v>0</v>
      </c>
      <c r="P639" t="n">
        <v>0</v>
      </c>
      <c r="Q639" t="n">
        <v>0</v>
      </c>
      <c r="R639" s="2" t="inlineStr"/>
    </row>
    <row r="640" ht="15" customHeight="1">
      <c r="A640" t="inlineStr">
        <is>
          <t>A 7183-2025</t>
        </is>
      </c>
      <c r="B640" s="1" t="n">
        <v>45702</v>
      </c>
      <c r="C640" s="1" t="n">
        <v>45727</v>
      </c>
      <c r="D640" t="inlineStr">
        <is>
          <t>VÄSTERBOTTENS LÄN</t>
        </is>
      </c>
      <c r="E640" t="inlineStr">
        <is>
          <t>STORUMAN</t>
        </is>
      </c>
      <c r="F640" t="inlineStr">
        <is>
          <t>SCA</t>
        </is>
      </c>
      <c r="G640" t="n">
        <v>9.5</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45727</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45727</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45727</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45727</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45727</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11279-2025</t>
        </is>
      </c>
      <c r="B646" s="1" t="n">
        <v>45726</v>
      </c>
      <c r="C646" s="1" t="n">
        <v>45727</v>
      </c>
      <c r="D646" t="inlineStr">
        <is>
          <t>VÄSTERBOTTENS LÄN</t>
        </is>
      </c>
      <c r="E646" t="inlineStr">
        <is>
          <t>STORUMAN</t>
        </is>
      </c>
      <c r="G646" t="n">
        <v>16.6</v>
      </c>
      <c r="H646" t="n">
        <v>0</v>
      </c>
      <c r="I646" t="n">
        <v>0</v>
      </c>
      <c r="J646" t="n">
        <v>0</v>
      </c>
      <c r="K646" t="n">
        <v>0</v>
      </c>
      <c r="L646" t="n">
        <v>0</v>
      </c>
      <c r="M646" t="n">
        <v>0</v>
      </c>
      <c r="N646" t="n">
        <v>0</v>
      </c>
      <c r="O646" t="n">
        <v>0</v>
      </c>
      <c r="P646" t="n">
        <v>0</v>
      </c>
      <c r="Q646" t="n">
        <v>0</v>
      </c>
      <c r="R646" s="2" t="inlineStr"/>
    </row>
    <row r="647">
      <c r="A647" t="inlineStr">
        <is>
          <t>A 11246-2025</t>
        </is>
      </c>
      <c r="B647" s="1" t="n">
        <v>45726</v>
      </c>
      <c r="C647" s="1" t="n">
        <v>45727</v>
      </c>
      <c r="D647" t="inlineStr">
        <is>
          <t>VÄSTERBOTTENS LÄN</t>
        </is>
      </c>
      <c r="E647" t="inlineStr">
        <is>
          <t>STORUMAN</t>
        </is>
      </c>
      <c r="G647" t="n">
        <v>7.5</v>
      </c>
      <c r="H647" t="n">
        <v>0</v>
      </c>
      <c r="I647" t="n">
        <v>0</v>
      </c>
      <c r="J647" t="n">
        <v>0</v>
      </c>
      <c r="K647" t="n">
        <v>0</v>
      </c>
      <c r="L647" t="n">
        <v>0</v>
      </c>
      <c r="M647" t="n">
        <v>0</v>
      </c>
      <c r="N647" t="n">
        <v>0</v>
      </c>
      <c r="O647" t="n">
        <v>0</v>
      </c>
      <c r="P647" t="n">
        <v>0</v>
      </c>
      <c r="Q647" t="n">
        <v>0</v>
      </c>
      <c r="R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2025-03-11T17:06:17Z</dcterms:created>
  <dcterms:modified xmlns:dcterms="http://purl.org/dc/terms/" xmlns:xsi="http://www.w3.org/2001/XMLSchema-instance" xsi:type="dcterms:W3CDTF">2025-03-11T17:06:18Z</dcterms:modified>
</cp:coreProperties>
</file>